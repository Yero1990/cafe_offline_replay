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wan_\OneDrive\Desktop\Research\Uncertainty\"/>
    </mc:Choice>
  </mc:AlternateContent>
  <xr:revisionPtr revIDLastSave="0" documentId="13_ncr:1_{9FB05EFF-FBC5-4300-B1FA-1E8CF384342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Values" sheetId="3" r:id="rId1"/>
    <sheet name="Ratio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AA12" i="3"/>
  <c r="AA13" i="3"/>
  <c r="AA14" i="3"/>
  <c r="AA7" i="3"/>
  <c r="Z8" i="3"/>
  <c r="AA8" i="3" s="1"/>
  <c r="Z9" i="3"/>
  <c r="AA9" i="3" s="1"/>
  <c r="Z10" i="3"/>
  <c r="AA10" i="3" s="1"/>
  <c r="Z11" i="3"/>
  <c r="AA11" i="3" s="1"/>
  <c r="Z12" i="3"/>
  <c r="Z13" i="3"/>
  <c r="Z14" i="3"/>
  <c r="Z7" i="3"/>
  <c r="Y26" i="3"/>
  <c r="Y25" i="3"/>
  <c r="Y24" i="3"/>
  <c r="Y23" i="3"/>
  <c r="Y22" i="3"/>
  <c r="Y21" i="3"/>
  <c r="Y20" i="3"/>
  <c r="Y19" i="3"/>
  <c r="AM22" i="3"/>
  <c r="AM23" i="3"/>
  <c r="AM21" i="3"/>
  <c r="AM15" i="3"/>
  <c r="AM14" i="3"/>
  <c r="AM13" i="3"/>
  <c r="AM12" i="3"/>
  <c r="AM8" i="3"/>
  <c r="AM9" i="3"/>
  <c r="AM10" i="3"/>
  <c r="AM7" i="3"/>
  <c r="AF32" i="3"/>
  <c r="AF33" i="3"/>
  <c r="AF31" i="3"/>
  <c r="AF26" i="3"/>
  <c r="AF25" i="3"/>
  <c r="AF24" i="3"/>
  <c r="AF23" i="3"/>
  <c r="AF22" i="3"/>
  <c r="AF21" i="3"/>
  <c r="AF20" i="3"/>
  <c r="AF19" i="3"/>
  <c r="AF8" i="3"/>
  <c r="AF9" i="3"/>
  <c r="AF10" i="3"/>
  <c r="AF11" i="3"/>
  <c r="AF12" i="3"/>
  <c r="AF13" i="3"/>
  <c r="AF14" i="3"/>
  <c r="AF7" i="3"/>
  <c r="D40" i="3" l="1"/>
  <c r="D34" i="3"/>
  <c r="E34" i="3" s="1"/>
  <c r="AD34" i="3"/>
  <c r="AK24" i="3"/>
  <c r="D26" i="3" l="1"/>
  <c r="D25" i="3"/>
  <c r="D24" i="3"/>
  <c r="D23" i="3"/>
  <c r="D22" i="3"/>
  <c r="D21" i="3"/>
  <c r="D20" i="3"/>
  <c r="D19" i="3"/>
  <c r="F33" i="3"/>
  <c r="D39" i="3"/>
  <c r="F39" i="3" s="1"/>
  <c r="F40" i="3"/>
  <c r="V32" i="3"/>
  <c r="V33" i="3"/>
  <c r="V34" i="3" s="1"/>
  <c r="V31" i="3"/>
  <c r="V26" i="3"/>
  <c r="V25" i="3"/>
  <c r="V24" i="3"/>
  <c r="V23" i="3"/>
  <c r="V38" i="3" s="1"/>
  <c r="V22" i="3"/>
  <c r="V21" i="3"/>
  <c r="V20" i="3"/>
  <c r="V19" i="3"/>
  <c r="H10" i="3"/>
  <c r="I10" i="3" s="1"/>
  <c r="W8" i="3"/>
  <c r="X8" i="3" s="1"/>
  <c r="W9" i="3"/>
  <c r="X9" i="3" s="1"/>
  <c r="W10" i="3"/>
  <c r="X10" i="3" s="1"/>
  <c r="W11" i="3"/>
  <c r="X11" i="3" s="1"/>
  <c r="W12" i="3"/>
  <c r="X12" i="3" s="1"/>
  <c r="W13" i="3"/>
  <c r="X13" i="3" s="1"/>
  <c r="W14" i="3"/>
  <c r="X14" i="3" s="1"/>
  <c r="W7" i="3"/>
  <c r="X7" i="3" s="1"/>
  <c r="N14" i="3"/>
  <c r="O14" i="3" s="1"/>
  <c r="K8" i="3"/>
  <c r="L8" i="3" s="1"/>
  <c r="K9" i="3"/>
  <c r="L9" i="3" s="1"/>
  <c r="K11" i="3"/>
  <c r="L11" i="3" s="1"/>
  <c r="K7" i="3"/>
  <c r="L7" i="3" s="1"/>
  <c r="F7" i="3"/>
  <c r="V39" i="3" l="1"/>
  <c r="V40" i="3"/>
  <c r="V41" i="3" s="1"/>
  <c r="O25" i="3"/>
  <c r="O24" i="3"/>
  <c r="C28" i="4" l="1"/>
  <c r="C27" i="4"/>
  <c r="C26" i="4"/>
  <c r="C25" i="4"/>
  <c r="C24" i="4"/>
  <c r="C23" i="4"/>
  <c r="C22" i="4"/>
  <c r="C21" i="4"/>
  <c r="C10" i="4"/>
  <c r="C11" i="4"/>
  <c r="C12" i="4"/>
  <c r="C13" i="4"/>
  <c r="C14" i="4"/>
  <c r="C15" i="4"/>
  <c r="C16" i="4"/>
  <c r="C9" i="4"/>
  <c r="N22" i="4"/>
  <c r="O22" i="4" s="1"/>
  <c r="N23" i="4"/>
  <c r="O23" i="4" s="1"/>
  <c r="H26" i="4"/>
  <c r="I26" i="4" s="1"/>
  <c r="H27" i="4"/>
  <c r="I27" i="4" s="1"/>
  <c r="H28" i="4"/>
  <c r="I28" i="4" s="1"/>
  <c r="F24" i="4"/>
  <c r="G24" i="4" s="1"/>
  <c r="N10" i="4"/>
  <c r="O10" i="4" s="1"/>
  <c r="N11" i="4"/>
  <c r="O11" i="4" s="1"/>
  <c r="J16" i="4"/>
  <c r="K16" i="4" s="1"/>
  <c r="H10" i="4"/>
  <c r="I10" i="4" s="1"/>
  <c r="H11" i="4"/>
  <c r="H13" i="4"/>
  <c r="H14" i="4"/>
  <c r="I14" i="4" s="1"/>
  <c r="H15" i="4"/>
  <c r="H16" i="4"/>
  <c r="I16" i="4" s="1"/>
  <c r="H9" i="4"/>
  <c r="I9" i="4" s="1"/>
  <c r="F12" i="4"/>
  <c r="G12" i="4" s="1"/>
  <c r="AH26" i="3"/>
  <c r="M26" i="3"/>
  <c r="J28" i="4" s="1"/>
  <c r="K28" i="4" s="1"/>
  <c r="I15" i="4" l="1"/>
  <c r="I13" i="4"/>
  <c r="I11" i="4"/>
  <c r="F31" i="3" l="1"/>
  <c r="F32" i="3"/>
  <c r="P14" i="3"/>
  <c r="Q14" i="3" s="1"/>
  <c r="R14" i="3" s="1"/>
  <c r="P13" i="3"/>
  <c r="Q13" i="3" s="1"/>
  <c r="R13" i="3" s="1"/>
  <c r="P12" i="3"/>
  <c r="Q12" i="3" s="1"/>
  <c r="R12" i="3" s="1"/>
  <c r="P11" i="3"/>
  <c r="Q11" i="3" s="1"/>
  <c r="R11" i="3" s="1"/>
  <c r="P8" i="3"/>
  <c r="Q8" i="3" s="1"/>
  <c r="R8" i="3" s="1"/>
  <c r="P9" i="3"/>
  <c r="Q9" i="3" s="1"/>
  <c r="R9" i="3" s="1"/>
  <c r="P7" i="3"/>
  <c r="Q7" i="3" s="1"/>
  <c r="R7" i="3" s="1"/>
  <c r="G26" i="3"/>
  <c r="F27" i="4"/>
  <c r="G27" i="4" s="1"/>
  <c r="G24" i="3"/>
  <c r="F26" i="4" s="1"/>
  <c r="G26" i="4" s="1"/>
  <c r="G23" i="3"/>
  <c r="F25" i="4" s="1"/>
  <c r="G25" i="4" s="1"/>
  <c r="F20" i="3"/>
  <c r="F21" i="3"/>
  <c r="F22" i="3"/>
  <c r="F23" i="3"/>
  <c r="F24" i="3"/>
  <c r="F25" i="3"/>
  <c r="F26" i="3"/>
  <c r="F19" i="3"/>
  <c r="F8" i="3"/>
  <c r="F9" i="3"/>
  <c r="F10" i="3"/>
  <c r="F11" i="3"/>
  <c r="F12" i="3"/>
  <c r="F13" i="3"/>
  <c r="F14" i="3"/>
  <c r="G13" i="3" l="1"/>
  <c r="H13" i="3" s="1"/>
  <c r="I13" i="3" s="1"/>
  <c r="L16" i="4"/>
  <c r="M16" i="4" s="1"/>
  <c r="L11" i="4"/>
  <c r="M11" i="4" s="1"/>
  <c r="L14" i="4"/>
  <c r="M14" i="4" s="1"/>
  <c r="L10" i="4"/>
  <c r="M10" i="4" s="1"/>
  <c r="L13" i="4"/>
  <c r="M13" i="4" s="1"/>
  <c r="P23" i="3"/>
  <c r="L15" i="4"/>
  <c r="M15" i="4" s="1"/>
  <c r="L9" i="4"/>
  <c r="M9" i="4" s="1"/>
  <c r="G12" i="3"/>
  <c r="H12" i="3" s="1"/>
  <c r="I12" i="3" s="1"/>
  <c r="G14" i="3"/>
  <c r="H14" i="3" s="1"/>
  <c r="I14" i="3" s="1"/>
  <c r="F28" i="4"/>
  <c r="G28" i="4" s="1"/>
  <c r="G11" i="3"/>
  <c r="H11" i="3" s="1"/>
  <c r="I11" i="3" s="1"/>
  <c r="AP10" i="3"/>
  <c r="P10" i="3" s="1"/>
  <c r="Q10" i="3" s="1"/>
  <c r="R10" i="3" s="1"/>
  <c r="AN12" i="3"/>
  <c r="AN10" i="3"/>
  <c r="AN9" i="3"/>
  <c r="AN8" i="3"/>
  <c r="AN7" i="3"/>
  <c r="M10" i="3"/>
  <c r="N10" i="3" s="1"/>
  <c r="O10" i="3" s="1"/>
  <c r="AG11" i="3"/>
  <c r="AG9" i="3"/>
  <c r="AG8" i="3"/>
  <c r="AG7" i="3"/>
  <c r="J10" i="3"/>
  <c r="K10" i="3" s="1"/>
  <c r="L10" i="3" s="1"/>
  <c r="J22" i="3"/>
  <c r="H24" i="4" s="1"/>
  <c r="I24" i="4" s="1"/>
  <c r="P22" i="3"/>
  <c r="L24" i="4" s="1"/>
  <c r="M24" i="4" s="1"/>
  <c r="AG22" i="3"/>
  <c r="AG10" i="3"/>
  <c r="AH22" i="3"/>
  <c r="AH10" i="3"/>
  <c r="AH9" i="3"/>
  <c r="AH21" i="3" s="1"/>
  <c r="AH8" i="3"/>
  <c r="AH20" i="3" s="1"/>
  <c r="AH7" i="3"/>
  <c r="AH19" i="3" s="1"/>
  <c r="AH11" i="3"/>
  <c r="AH12" i="3"/>
  <c r="AH13" i="3"/>
  <c r="M22" i="3"/>
  <c r="J24" i="4" s="1"/>
  <c r="K24" i="4" s="1"/>
  <c r="M9" i="3"/>
  <c r="M8" i="3"/>
  <c r="M7" i="3"/>
  <c r="M11" i="3"/>
  <c r="M12" i="3"/>
  <c r="M13" i="3"/>
  <c r="P19" i="3"/>
  <c r="L21" i="4" s="1"/>
  <c r="M21" i="4" s="1"/>
  <c r="G21" i="3"/>
  <c r="G20" i="3"/>
  <c r="G19" i="3"/>
  <c r="J19" i="3"/>
  <c r="H21" i="4" s="1"/>
  <c r="I21" i="4" s="1"/>
  <c r="G33" i="3"/>
  <c r="N11" i="3" l="1"/>
  <c r="O11" i="3" s="1"/>
  <c r="N8" i="3"/>
  <c r="O8" i="3" s="1"/>
  <c r="N13" i="3"/>
  <c r="O13" i="3" s="1"/>
  <c r="N12" i="3"/>
  <c r="O12" i="3" s="1"/>
  <c r="N7" i="3"/>
  <c r="O7" i="3" s="1"/>
  <c r="N9" i="3"/>
  <c r="O9" i="3" s="1"/>
  <c r="H12" i="4"/>
  <c r="I12" i="4" s="1"/>
  <c r="J12" i="4"/>
  <c r="K12" i="4" s="1"/>
  <c r="F15" i="4"/>
  <c r="G15" i="4" s="1"/>
  <c r="F13" i="4"/>
  <c r="G13" i="4" s="1"/>
  <c r="F16" i="4"/>
  <c r="G16" i="4" s="1"/>
  <c r="F14" i="4"/>
  <c r="G14" i="4" s="1"/>
  <c r="L12" i="4"/>
  <c r="M12" i="4" s="1"/>
  <c r="F21" i="4"/>
  <c r="G21" i="4" s="1"/>
  <c r="G7" i="3"/>
  <c r="H7" i="3" s="1"/>
  <c r="I7" i="3" s="1"/>
  <c r="M24" i="3"/>
  <c r="J14" i="4"/>
  <c r="K14" i="4" s="1"/>
  <c r="G8" i="3"/>
  <c r="H8" i="3" s="1"/>
  <c r="I8" i="3" s="1"/>
  <c r="F22" i="4"/>
  <c r="G22" i="4" s="1"/>
  <c r="M25" i="3"/>
  <c r="J27" i="4" s="1"/>
  <c r="K27" i="4" s="1"/>
  <c r="J15" i="4"/>
  <c r="K15" i="4" s="1"/>
  <c r="M23" i="3"/>
  <c r="J25" i="4" s="1"/>
  <c r="K25" i="4" s="1"/>
  <c r="J13" i="4"/>
  <c r="K13" i="4" s="1"/>
  <c r="M19" i="3"/>
  <c r="J21" i="4" s="1"/>
  <c r="K21" i="4" s="1"/>
  <c r="J9" i="4"/>
  <c r="K9" i="4" s="1"/>
  <c r="J10" i="4"/>
  <c r="K10" i="4" s="1"/>
  <c r="M20" i="3"/>
  <c r="J22" i="4" s="1"/>
  <c r="K22" i="4" s="1"/>
  <c r="J11" i="4"/>
  <c r="K11" i="4" s="1"/>
  <c r="M21" i="3"/>
  <c r="J23" i="4" s="1"/>
  <c r="K23" i="4" s="1"/>
  <c r="F23" i="4"/>
  <c r="G23" i="4" s="1"/>
  <c r="G9" i="3"/>
  <c r="H9" i="3" s="1"/>
  <c r="I9" i="3" s="1"/>
  <c r="S11" i="3"/>
  <c r="T11" i="3" s="1"/>
  <c r="U11" i="3" s="1"/>
  <c r="AQ22" i="3"/>
  <c r="AQ23" i="3"/>
  <c r="AQ24" i="3" s="1"/>
  <c r="AQ21" i="3"/>
  <c r="AO21" i="3"/>
  <c r="AH31" i="3"/>
  <c r="AH32" i="3"/>
  <c r="P31" i="3"/>
  <c r="M33" i="3"/>
  <c r="M32" i="3"/>
  <c r="M31" i="3"/>
  <c r="S12" i="3"/>
  <c r="T12" i="3" s="1"/>
  <c r="U12" i="3" s="1"/>
  <c r="S13" i="3"/>
  <c r="T13" i="3" s="1"/>
  <c r="U13" i="3" s="1"/>
  <c r="S14" i="3"/>
  <c r="T14" i="3" s="1"/>
  <c r="U14" i="3" s="1"/>
  <c r="S10" i="3"/>
  <c r="T10" i="3" s="1"/>
  <c r="U10" i="3" s="1"/>
  <c r="S7" i="3"/>
  <c r="T7" i="3" s="1"/>
  <c r="U7" i="3" s="1"/>
  <c r="P24" i="3"/>
  <c r="L26" i="4" s="1"/>
  <c r="M26" i="4" s="1"/>
  <c r="P20" i="3"/>
  <c r="L22" i="4" s="1"/>
  <c r="M22" i="4" s="1"/>
  <c r="P26" i="3"/>
  <c r="L28" i="4" s="1"/>
  <c r="M28" i="4" s="1"/>
  <c r="AP21" i="3"/>
  <c r="AO22" i="3"/>
  <c r="AO23" i="3"/>
  <c r="AO24" i="3" s="1"/>
  <c r="AG23" i="3"/>
  <c r="AG21" i="3"/>
  <c r="AG20" i="3"/>
  <c r="AG19" i="3"/>
  <c r="AH25" i="3"/>
  <c r="AH24" i="3"/>
  <c r="AH23" i="3"/>
  <c r="AH38" i="3" s="1"/>
  <c r="J20" i="3"/>
  <c r="H22" i="4" s="1"/>
  <c r="I22" i="4" s="1"/>
  <c r="J21" i="3"/>
  <c r="H23" i="4" s="1"/>
  <c r="I23" i="4" s="1"/>
  <c r="P21" i="3"/>
  <c r="L23" i="4" s="1"/>
  <c r="M23" i="4" s="1"/>
  <c r="P25" i="3"/>
  <c r="J23" i="3"/>
  <c r="H25" i="4" s="1"/>
  <c r="I25" i="4" s="1"/>
  <c r="L25" i="4"/>
  <c r="M25" i="4" s="1"/>
  <c r="AH33" i="3"/>
  <c r="M34" i="3" l="1"/>
  <c r="N16" i="4"/>
  <c r="O16" i="4" s="1"/>
  <c r="N13" i="4"/>
  <c r="O13" i="4" s="1"/>
  <c r="F9" i="4"/>
  <c r="G9" i="4" s="1"/>
  <c r="F11" i="4"/>
  <c r="G11" i="4" s="1"/>
  <c r="F10" i="4"/>
  <c r="G10" i="4" s="1"/>
  <c r="S23" i="3"/>
  <c r="N25" i="4" s="1"/>
  <c r="O25" i="4" s="1"/>
  <c r="S31" i="3"/>
  <c r="S19" i="3"/>
  <c r="N21" i="4" s="1"/>
  <c r="O21" i="4" s="1"/>
  <c r="N9" i="4"/>
  <c r="O9" i="4" s="1"/>
  <c r="S25" i="3"/>
  <c r="N15" i="4"/>
  <c r="O15" i="4" s="1"/>
  <c r="S26" i="3"/>
  <c r="N28" i="4" s="1"/>
  <c r="O28" i="4" s="1"/>
  <c r="S24" i="3"/>
  <c r="N14" i="4"/>
  <c r="O14" i="4" s="1"/>
  <c r="S22" i="3"/>
  <c r="N24" i="4" s="1"/>
  <c r="O24" i="4" s="1"/>
  <c r="N12" i="4"/>
  <c r="O12" i="4" s="1"/>
  <c r="P40" i="3"/>
  <c r="L27" i="4"/>
  <c r="M27" i="4" s="1"/>
  <c r="M40" i="3"/>
  <c r="M38" i="3"/>
  <c r="M39" i="3"/>
  <c r="J26" i="4"/>
  <c r="K26" i="4" s="1"/>
  <c r="S33" i="3"/>
  <c r="S34" i="3" s="1"/>
  <c r="S32" i="3"/>
  <c r="P39" i="3"/>
  <c r="P38" i="3"/>
  <c r="AH39" i="3"/>
  <c r="AH40" i="3"/>
  <c r="N27" i="4" l="1"/>
  <c r="O27" i="4" s="1"/>
  <c r="S40" i="3"/>
  <c r="N26" i="4"/>
  <c r="O26" i="4" s="1"/>
  <c r="S39" i="3"/>
  <c r="S38" i="3"/>
  <c r="M41" i="3"/>
  <c r="P41" i="3"/>
  <c r="S41" i="3" l="1"/>
</calcChain>
</file>

<file path=xl/sharedStrings.xml><?xml version="1.0" encoding="utf-8"?>
<sst xmlns="http://schemas.openxmlformats.org/spreadsheetml/2006/main" count="165" uniqueCount="37">
  <si>
    <t>Target</t>
  </si>
  <si>
    <t>Data</t>
  </si>
  <si>
    <t>Uncertainty</t>
  </si>
  <si>
    <t>SRG</t>
  </si>
  <si>
    <t>L=0, l=0</t>
  </si>
  <si>
    <t>Spatial</t>
  </si>
  <si>
    <t>l=0, n=0</t>
  </si>
  <si>
    <t>Be9</t>
  </si>
  <si>
    <t>B10</t>
  </si>
  <si>
    <t>B11</t>
  </si>
  <si>
    <t>C12</t>
  </si>
  <si>
    <t>Ca40</t>
  </si>
  <si>
    <t>Ca48</t>
  </si>
  <si>
    <t>Fe54</t>
  </si>
  <si>
    <t>Au197</t>
  </si>
  <si>
    <t>Av18</t>
  </si>
  <si>
    <t>Per Nucleus SRC Single Ratio to C</t>
  </si>
  <si>
    <t>Per Proton SRC Single Ratio to C</t>
  </si>
  <si>
    <t>Per Proton MF Single Ratio to C</t>
  </si>
  <si>
    <t>Per Nucleus MF Single Ratio to C</t>
  </si>
  <si>
    <t>Per Proton SRC Single Ratio to Ca40</t>
  </si>
  <si>
    <t>Per Proton MF Single Ratio to Ca40</t>
  </si>
  <si>
    <t>Per Nucleus SRC Single Ratio to Ca40</t>
  </si>
  <si>
    <t>Per Nucleus MF Single Ratio to Ca40</t>
  </si>
  <si>
    <t>Deur et. All</t>
  </si>
  <si>
    <t>Al27</t>
  </si>
  <si>
    <t>Pb208</t>
  </si>
  <si>
    <t>Double Ratio to C</t>
  </si>
  <si>
    <t>Double Ratio to Ca40</t>
  </si>
  <si>
    <t>Rel (%)</t>
  </si>
  <si>
    <t>Per Proton SRC to C12</t>
  </si>
  <si>
    <t>Per Nucleus SRC to C12</t>
  </si>
  <si>
    <t>d</t>
  </si>
  <si>
    <t>sd</t>
  </si>
  <si>
    <t>sd/d</t>
  </si>
  <si>
    <t>LCA</t>
  </si>
  <si>
    <t>Spatial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</si>
</sst>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3" borderId="1" xfId="0" applyFill="1" applyBorder="1"/>
    <xf numFmtId="164" fontId="0" fillId="0" borderId="5" xfId="0" applyNumberFormat="1" applyBorder="1"/>
    <xf numFmtId="164" fontId="0" fillId="4" borderId="1" xfId="0" applyNumberFormat="1" applyFill="1" applyBorder="1"/>
    <xf numFmtId="2" fontId="0" fillId="0" borderId="1" xfId="0" applyNumberFormat="1" applyBorder="1"/>
    <xf numFmtId="164" fontId="0" fillId="0" borderId="0" xfId="0" applyNumberFormat="1"/>
    <xf numFmtId="164" fontId="0" fillId="0" borderId="7" xfId="0" applyNumberFormat="1" applyBorder="1"/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2BD1-B822-4EA8-999C-8FE49A34BC15}">
  <dimension ref="C5:AS41"/>
  <sheetViews>
    <sheetView tabSelected="1" topLeftCell="C14" zoomScale="218" zoomScaleNormal="100" workbookViewId="0">
      <selection activeCell="G25" sqref="G25"/>
    </sheetView>
  </sheetViews>
  <sheetFormatPr defaultRowHeight="15" x14ac:dyDescent="0.25"/>
  <cols>
    <col min="6" max="6" width="11.28515625" customWidth="1"/>
    <col min="32" max="32" width="11.42578125" customWidth="1"/>
    <col min="39" max="41" width="11.28515625" customWidth="1"/>
    <col min="44" max="44" width="10.5703125" customWidth="1"/>
  </cols>
  <sheetData>
    <row r="5" spans="3:45" x14ac:dyDescent="0.25">
      <c r="C5" s="24" t="s">
        <v>17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C5" s="17" t="s">
        <v>18</v>
      </c>
      <c r="AD5" s="17"/>
      <c r="AE5" s="17"/>
      <c r="AF5" s="17"/>
      <c r="AG5" s="17"/>
      <c r="AH5" s="17"/>
      <c r="AJ5" s="18" t="s">
        <v>27</v>
      </c>
      <c r="AK5" s="19"/>
      <c r="AL5" s="19"/>
      <c r="AM5" s="19"/>
      <c r="AN5" s="19"/>
      <c r="AO5" s="19"/>
      <c r="AP5" s="19"/>
      <c r="AQ5" s="19"/>
      <c r="AR5" s="20"/>
    </row>
    <row r="6" spans="3:45" x14ac:dyDescent="0.25">
      <c r="C6" s="1" t="s">
        <v>0</v>
      </c>
      <c r="D6" s="1" t="s">
        <v>1</v>
      </c>
      <c r="E6" s="1" t="s">
        <v>29</v>
      </c>
      <c r="F6" s="1" t="s">
        <v>2</v>
      </c>
      <c r="G6" s="15" t="s">
        <v>4</v>
      </c>
      <c r="H6" s="15"/>
      <c r="I6" s="15"/>
      <c r="J6" s="15" t="s">
        <v>15</v>
      </c>
      <c r="K6" s="15"/>
      <c r="L6" s="15"/>
      <c r="M6" s="15" t="s">
        <v>3</v>
      </c>
      <c r="N6" s="15"/>
      <c r="O6" s="15"/>
      <c r="P6" s="16" t="s">
        <v>5</v>
      </c>
      <c r="Q6" s="16"/>
      <c r="R6" s="16"/>
      <c r="S6" s="16" t="s">
        <v>6</v>
      </c>
      <c r="T6" s="16"/>
      <c r="U6" s="16"/>
      <c r="V6" s="15" t="s">
        <v>35</v>
      </c>
      <c r="W6" s="15"/>
      <c r="X6" s="15"/>
      <c r="Y6" s="15" t="s">
        <v>36</v>
      </c>
      <c r="Z6" s="15"/>
      <c r="AA6" s="15"/>
      <c r="AC6" s="1" t="s">
        <v>0</v>
      </c>
      <c r="AD6" s="1" t="s">
        <v>1</v>
      </c>
      <c r="AE6" s="1" t="s">
        <v>29</v>
      </c>
      <c r="AF6" s="1" t="s">
        <v>2</v>
      </c>
      <c r="AG6" s="1" t="s">
        <v>15</v>
      </c>
      <c r="AH6" s="1" t="s">
        <v>3</v>
      </c>
      <c r="AJ6" s="1" t="s">
        <v>0</v>
      </c>
      <c r="AK6" s="1" t="s">
        <v>1</v>
      </c>
      <c r="AL6" s="1" t="s">
        <v>29</v>
      </c>
      <c r="AM6" s="1" t="s">
        <v>2</v>
      </c>
      <c r="AN6" s="1" t="s">
        <v>15</v>
      </c>
      <c r="AO6" s="1" t="s">
        <v>3</v>
      </c>
      <c r="AP6" s="1" t="s">
        <v>5</v>
      </c>
      <c r="AQ6" s="1" t="s">
        <v>6</v>
      </c>
      <c r="AR6" s="1" t="s">
        <v>24</v>
      </c>
    </row>
    <row r="7" spans="3:45" x14ac:dyDescent="0.25">
      <c r="C7" s="1" t="s">
        <v>7</v>
      </c>
      <c r="D7" s="8">
        <v>0.8007496122695158</v>
      </c>
      <c r="E7" s="8">
        <v>5.1074959964091983E-2</v>
      </c>
      <c r="F7" s="8">
        <f>D7*E7</f>
        <v>4.0898254387927699E-2</v>
      </c>
      <c r="G7" s="8">
        <f>G19*6/4</f>
        <v>1</v>
      </c>
      <c r="H7" s="8">
        <f>G7/D7</f>
        <v>1.2488298272986496</v>
      </c>
      <c r="I7" s="8">
        <f>H7*E7</f>
        <v>6.3783933431242432E-2</v>
      </c>
      <c r="J7" s="8">
        <v>0.93400000000000005</v>
      </c>
      <c r="K7" s="8">
        <f>J7/D7</f>
        <v>1.1664070586969388</v>
      </c>
      <c r="L7" s="8">
        <f>K7*E7</f>
        <v>5.9574193824780436E-2</v>
      </c>
      <c r="M7" s="8">
        <f>1.0247455</f>
        <v>1.0247455000000001</v>
      </c>
      <c r="N7" s="8">
        <f>M7/D7</f>
        <v>1.2797327457900685</v>
      </c>
      <c r="O7" s="8">
        <f>N7*E7</f>
        <v>6.5362298755965248E-2</v>
      </c>
      <c r="P7" s="1">
        <f>AP7</f>
        <v>0.78</v>
      </c>
      <c r="Q7" s="8">
        <f>P7/D7</f>
        <v>0.97408726529294665</v>
      </c>
      <c r="R7" s="8">
        <f>Q7*E7</f>
        <v>4.9751468076369099E-2</v>
      </c>
      <c r="S7" s="8">
        <f>AQ7</f>
        <v>0.94689999999999996</v>
      </c>
      <c r="T7" s="8">
        <f>S7/D7</f>
        <v>1.1825169634690913</v>
      </c>
      <c r="U7" s="8">
        <f>T7*E7</f>
        <v>6.0397006566043458E-2</v>
      </c>
      <c r="V7" s="8">
        <v>1.01030928</v>
      </c>
      <c r="W7" s="8">
        <f>V7/D7</f>
        <v>1.2617043636606229</v>
      </c>
      <c r="X7" s="8">
        <f>W7*E7</f>
        <v>6.4441499860486459E-2</v>
      </c>
      <c r="Y7" s="8">
        <v>0.91</v>
      </c>
      <c r="Z7" s="8">
        <f>Y7/D7</f>
        <v>1.1364351428417712</v>
      </c>
      <c r="AA7" s="8">
        <f>Z7*E7</f>
        <v>5.8043379422430617E-2</v>
      </c>
      <c r="AB7" s="14"/>
      <c r="AC7" s="1" t="s">
        <v>7</v>
      </c>
      <c r="AD7" s="3">
        <v>1.0483107509250849</v>
      </c>
      <c r="AE7" s="3">
        <v>4.5136809962827124E-2</v>
      </c>
      <c r="AF7" s="3">
        <f>AE7*AD7</f>
        <v>4.7317403146494151E-2</v>
      </c>
      <c r="AG7" s="3">
        <f>1.029279</f>
        <v>1.0292790000000001</v>
      </c>
      <c r="AH7" s="3">
        <f>0.999837</f>
        <v>0.99983699999999998</v>
      </c>
      <c r="AJ7" s="1" t="s">
        <v>7</v>
      </c>
      <c r="AK7" s="3">
        <v>0.76384756291289779</v>
      </c>
      <c r="AL7" s="3">
        <v>2.7476289410821881E-2</v>
      </c>
      <c r="AM7" s="3">
        <f>AL7*AK7</f>
        <v>2.0987696704345755E-2</v>
      </c>
      <c r="AN7" s="3">
        <f>0.907337</f>
        <v>0.90733699999999995</v>
      </c>
      <c r="AO7" s="4"/>
      <c r="AP7" s="1">
        <v>0.78</v>
      </c>
      <c r="AQ7" s="3">
        <v>0.94689999999999996</v>
      </c>
      <c r="AR7" s="2"/>
    </row>
    <row r="8" spans="3:45" x14ac:dyDescent="0.25">
      <c r="C8" s="1" t="s">
        <v>8</v>
      </c>
      <c r="D8" s="8">
        <v>0.92101955378049893</v>
      </c>
      <c r="E8" s="8">
        <v>3.9753409693524748E-2</v>
      </c>
      <c r="F8" s="8">
        <f t="shared" ref="F8:F14" si="0">D8*E8</f>
        <v>3.6613667657183525E-2</v>
      </c>
      <c r="G8" s="8">
        <f>G20*6/5</f>
        <v>0.8</v>
      </c>
      <c r="H8" s="8">
        <f t="shared" ref="H8:H14" si="1">G8/D8</f>
        <v>0.86860262273069966</v>
      </c>
      <c r="I8" s="8">
        <f t="shared" ref="I8:I14" si="2">H8*E8</f>
        <v>3.4529915922283619E-2</v>
      </c>
      <c r="J8" s="8">
        <v>0.89600000000000002</v>
      </c>
      <c r="K8" s="8">
        <f t="shared" ref="K8:K11" si="3">J8/D8</f>
        <v>0.97283493745838356</v>
      </c>
      <c r="L8" s="8">
        <f t="shared" ref="L8:L11" si="4">K8*E8</f>
        <v>3.8673505832957644E-2</v>
      </c>
      <c r="M8" s="8">
        <f>0.9736866</f>
        <v>0.97368659999999996</v>
      </c>
      <c r="N8" s="8">
        <f t="shared" ref="N8:N14" si="5">M8/D8</f>
        <v>1.057183418097172</v>
      </c>
      <c r="O8" s="8">
        <f t="shared" ref="O8:O14" si="6">N8*E8</f>
        <v>4.2026645540817746E-2</v>
      </c>
      <c r="P8" s="1">
        <f t="shared" ref="P8:P10" si="7">AP8</f>
        <v>0.86</v>
      </c>
      <c r="Q8" s="8">
        <f t="shared" ref="Q8:Q14" si="8">P8/D8</f>
        <v>0.933747819435502</v>
      </c>
      <c r="R8" s="8">
        <f t="shared" ref="R8:R14" si="9">Q8*E8</f>
        <v>3.7119659616454879E-2</v>
      </c>
      <c r="S8" s="2"/>
      <c r="T8" s="2"/>
      <c r="U8" s="2"/>
      <c r="V8" s="8">
        <v>0.95670102999999995</v>
      </c>
      <c r="W8" s="8">
        <f t="shared" ref="W8:W14" si="10">V8/D8</f>
        <v>1.0387412797839521</v>
      </c>
      <c r="X8" s="8">
        <f t="shared" ref="X8:X14" si="11">W8*E8</f>
        <v>4.1293507660827664E-2</v>
      </c>
      <c r="Y8" s="1"/>
      <c r="Z8" s="8">
        <f t="shared" ref="Z8:Z14" si="12">Y8/D8</f>
        <v>0</v>
      </c>
      <c r="AA8" s="8">
        <f t="shared" ref="AA8:AA14" si="13">Z8*E8</f>
        <v>0</v>
      </c>
      <c r="AB8" s="14"/>
      <c r="AC8" s="1" t="s">
        <v>8</v>
      </c>
      <c r="AD8" s="3">
        <v>1.069770501429173</v>
      </c>
      <c r="AE8" s="3">
        <v>2.882385543244843E-2</v>
      </c>
      <c r="AF8" s="3">
        <f t="shared" ref="AF8:AF14" si="14">AE8*AD8</f>
        <v>3.0834910279092347E-2</v>
      </c>
      <c r="AG8" s="3">
        <f>1.021918</f>
        <v>1.0219180000000001</v>
      </c>
      <c r="AH8" s="3">
        <f>1.0060651</f>
        <v>1.0060651</v>
      </c>
      <c r="AJ8" s="1" t="s">
        <v>8</v>
      </c>
      <c r="AK8" s="3">
        <v>0.86095059879670599</v>
      </c>
      <c r="AL8" s="3">
        <v>2.6614813201115819E-2</v>
      </c>
      <c r="AM8" s="3">
        <f t="shared" ref="AM8:AM10" si="15">AL8*AK8</f>
        <v>2.291403936236314E-2</v>
      </c>
      <c r="AN8" s="3">
        <f>0.876947</f>
        <v>0.87694700000000003</v>
      </c>
      <c r="AO8" s="4"/>
      <c r="AP8" s="1">
        <v>0.86</v>
      </c>
      <c r="AQ8" s="2"/>
      <c r="AR8" s="2"/>
    </row>
    <row r="9" spans="3:45" x14ac:dyDescent="0.25">
      <c r="C9" s="1" t="s">
        <v>9</v>
      </c>
      <c r="D9" s="8">
        <v>1.0003294442022888</v>
      </c>
      <c r="E9" s="8">
        <v>3.9087222204186957E-2</v>
      </c>
      <c r="F9" s="8">
        <f t="shared" si="0"/>
        <v>3.9100099262925701E-2</v>
      </c>
      <c r="G9" s="8">
        <f>G21*6/5</f>
        <v>1</v>
      </c>
      <c r="H9" s="8">
        <f t="shared" si="1"/>
        <v>0.99967066429544971</v>
      </c>
      <c r="I9" s="8">
        <f t="shared" si="2"/>
        <v>3.9074349386323426E-2</v>
      </c>
      <c r="J9" s="8">
        <v>1.0109999999999999</v>
      </c>
      <c r="K9" s="8">
        <f t="shared" si="3"/>
        <v>1.0106670416026995</v>
      </c>
      <c r="L9" s="8">
        <f t="shared" si="4"/>
        <v>3.9504167229572978E-2</v>
      </c>
      <c r="M9" s="8">
        <f>1.0387046</f>
        <v>1.0387046</v>
      </c>
      <c r="N9" s="8">
        <f t="shared" si="5"/>
        <v>1.0383625174887394</v>
      </c>
      <c r="O9" s="8">
        <f t="shared" si="6"/>
        <v>4.0586706449581324E-2</v>
      </c>
      <c r="P9" s="1">
        <f t="shared" si="7"/>
        <v>1.02</v>
      </c>
      <c r="Q9" s="8">
        <f t="shared" si="8"/>
        <v>1.0196640775813588</v>
      </c>
      <c r="R9" s="8">
        <f t="shared" si="9"/>
        <v>3.9855836374049901E-2</v>
      </c>
      <c r="S9" s="2"/>
      <c r="T9" s="2"/>
      <c r="U9" s="2"/>
      <c r="V9" s="8">
        <v>1.0391752599999999</v>
      </c>
      <c r="W9" s="8">
        <f t="shared" si="10"/>
        <v>1.0388330224835967</v>
      </c>
      <c r="X9" s="8">
        <f t="shared" si="11"/>
        <v>4.0605097182863488E-2</v>
      </c>
      <c r="Y9" s="8">
        <v>1.02</v>
      </c>
      <c r="Z9" s="8">
        <f t="shared" si="12"/>
        <v>1.0196640775813588</v>
      </c>
      <c r="AA9" s="8">
        <f t="shared" si="13"/>
        <v>3.9855836374049901E-2</v>
      </c>
      <c r="AB9" s="14"/>
      <c r="AC9" s="1" t="s">
        <v>9</v>
      </c>
      <c r="AD9" s="3">
        <v>1.0045354080343887</v>
      </c>
      <c r="AE9" s="3">
        <v>2.8646958347869119E-2</v>
      </c>
      <c r="AF9" s="3">
        <f t="shared" si="14"/>
        <v>2.8776883992920842E-2</v>
      </c>
      <c r="AG9" s="3">
        <f>1.005008</f>
        <v>1.0050079999999999</v>
      </c>
      <c r="AH9" s="3">
        <f>0.992448</f>
        <v>0.992448</v>
      </c>
      <c r="AJ9" s="1" t="s">
        <v>9</v>
      </c>
      <c r="AK9" s="3">
        <v>0.99581302580430686</v>
      </c>
      <c r="AL9" s="3">
        <v>2.5890142859332957E-2</v>
      </c>
      <c r="AM9" s="3">
        <f t="shared" si="15"/>
        <v>2.5781741499258121E-2</v>
      </c>
      <c r="AN9" s="3">
        <f>1.005515</f>
        <v>1.0055149999999999</v>
      </c>
      <c r="AO9" s="4"/>
      <c r="AP9" s="1">
        <v>1.02</v>
      </c>
      <c r="AQ9" s="2"/>
      <c r="AR9" s="2"/>
    </row>
    <row r="10" spans="3:45" x14ac:dyDescent="0.25">
      <c r="C10" s="1" t="s">
        <v>10</v>
      </c>
      <c r="D10" s="8">
        <v>1</v>
      </c>
      <c r="E10" s="8">
        <v>0</v>
      </c>
      <c r="F10" s="8">
        <f t="shared" si="0"/>
        <v>0</v>
      </c>
      <c r="G10" s="8">
        <v>1</v>
      </c>
      <c r="H10" s="8">
        <f t="shared" si="1"/>
        <v>1</v>
      </c>
      <c r="I10" s="8">
        <f t="shared" si="2"/>
        <v>0</v>
      </c>
      <c r="J10" s="8">
        <f>1</f>
        <v>1</v>
      </c>
      <c r="K10" s="8">
        <f t="shared" si="3"/>
        <v>1</v>
      </c>
      <c r="L10" s="8">
        <f t="shared" si="4"/>
        <v>0</v>
      </c>
      <c r="M10" s="8">
        <f>1</f>
        <v>1</v>
      </c>
      <c r="N10" s="8">
        <f t="shared" si="5"/>
        <v>1</v>
      </c>
      <c r="O10" s="8">
        <f t="shared" si="6"/>
        <v>0</v>
      </c>
      <c r="P10" s="1">
        <f t="shared" si="7"/>
        <v>1</v>
      </c>
      <c r="Q10" s="8">
        <f t="shared" si="8"/>
        <v>1</v>
      </c>
      <c r="R10" s="8">
        <f t="shared" si="9"/>
        <v>0</v>
      </c>
      <c r="S10" s="8">
        <f>AQ10</f>
        <v>1</v>
      </c>
      <c r="T10" s="8">
        <f>S10/D10</f>
        <v>1</v>
      </c>
      <c r="U10" s="8">
        <f>T10*E10</f>
        <v>0</v>
      </c>
      <c r="V10" s="8">
        <v>1</v>
      </c>
      <c r="W10" s="8">
        <f t="shared" si="10"/>
        <v>1</v>
      </c>
      <c r="X10" s="8">
        <f t="shared" si="11"/>
        <v>0</v>
      </c>
      <c r="Y10" s="8">
        <v>1</v>
      </c>
      <c r="Z10" s="8">
        <f t="shared" si="12"/>
        <v>1</v>
      </c>
      <c r="AA10" s="8">
        <f t="shared" si="13"/>
        <v>0</v>
      </c>
      <c r="AB10" s="14"/>
      <c r="AC10" s="1" t="s">
        <v>10</v>
      </c>
      <c r="AD10" s="3">
        <v>1</v>
      </c>
      <c r="AE10" s="3">
        <v>0</v>
      </c>
      <c r="AF10" s="3">
        <f t="shared" si="14"/>
        <v>0</v>
      </c>
      <c r="AG10" s="3">
        <f>1</f>
        <v>1</v>
      </c>
      <c r="AH10" s="3">
        <f>1</f>
        <v>1</v>
      </c>
      <c r="AJ10" s="1" t="s">
        <v>10</v>
      </c>
      <c r="AK10" s="3">
        <v>1</v>
      </c>
      <c r="AL10" s="3">
        <v>0</v>
      </c>
      <c r="AM10" s="3">
        <f t="shared" si="15"/>
        <v>0</v>
      </c>
      <c r="AN10" s="3">
        <f>1</f>
        <v>1</v>
      </c>
      <c r="AO10" s="3">
        <v>1</v>
      </c>
      <c r="AP10" s="3">
        <f>1</f>
        <v>1</v>
      </c>
      <c r="AQ10" s="3">
        <v>1</v>
      </c>
      <c r="AR10" s="3">
        <v>1</v>
      </c>
    </row>
    <row r="11" spans="3:45" x14ac:dyDescent="0.25">
      <c r="C11" s="1" t="s">
        <v>11</v>
      </c>
      <c r="D11" s="8">
        <v>0.92710413477815734</v>
      </c>
      <c r="E11" s="8">
        <v>5.3401500944900163E-2</v>
      </c>
      <c r="F11" s="8">
        <f t="shared" si="0"/>
        <v>4.9508752329376619E-2</v>
      </c>
      <c r="G11" s="8">
        <f>G23*6/20</f>
        <v>1</v>
      </c>
      <c r="H11" s="8">
        <f t="shared" si="1"/>
        <v>1.0786274836745127</v>
      </c>
      <c r="I11" s="8">
        <f t="shared" si="2"/>
        <v>5.7600326588639776E-2</v>
      </c>
      <c r="J11" s="8">
        <v>0.85399999999999998</v>
      </c>
      <c r="K11" s="8">
        <f t="shared" si="3"/>
        <v>0.92114787105803375</v>
      </c>
      <c r="L11" s="8">
        <f t="shared" si="4"/>
        <v>4.9190678906698364E-2</v>
      </c>
      <c r="M11" s="8">
        <f>1.158137</f>
        <v>1.158137</v>
      </c>
      <c r="N11" s="8">
        <f t="shared" si="5"/>
        <v>1.2491983980603489</v>
      </c>
      <c r="O11" s="8">
        <f t="shared" si="6"/>
        <v>6.6709069434387494E-2</v>
      </c>
      <c r="P11" s="1">
        <f>AP12</f>
        <v>1.1599999999999999</v>
      </c>
      <c r="Q11" s="8">
        <f t="shared" si="8"/>
        <v>1.2512078810624345</v>
      </c>
      <c r="R11" s="8">
        <f t="shared" si="9"/>
        <v>6.6816378842822127E-2</v>
      </c>
      <c r="S11" s="8">
        <f>AQ12</f>
        <v>1.58</v>
      </c>
      <c r="T11" s="8">
        <f t="shared" ref="T11:T14" si="16">S11/D11</f>
        <v>1.7042314242057299</v>
      </c>
      <c r="U11" s="8">
        <f t="shared" ref="U11:U14" si="17">T11*E11</f>
        <v>9.1008516010050833E-2</v>
      </c>
      <c r="V11" s="8">
        <v>1.1041237100000001</v>
      </c>
      <c r="W11" s="8">
        <f t="shared" si="10"/>
        <v>1.1909381789826674</v>
      </c>
      <c r="X11" s="8">
        <f t="shared" si="11"/>
        <v>6.3597886290260586E-2</v>
      </c>
      <c r="Y11" s="8">
        <v>1.23</v>
      </c>
      <c r="Z11" s="8">
        <f t="shared" si="12"/>
        <v>1.3267118049196505</v>
      </c>
      <c r="AA11" s="8">
        <f t="shared" si="13"/>
        <v>7.0848401704026912E-2</v>
      </c>
      <c r="AB11" s="14"/>
      <c r="AC11" s="1" t="s">
        <v>11</v>
      </c>
      <c r="AD11" s="3">
        <v>0.79342497396468059</v>
      </c>
      <c r="AE11" s="3">
        <v>4.5149334996312497E-2</v>
      </c>
      <c r="AF11" s="3">
        <f t="shared" si="14"/>
        <v>3.5822609943971885E-2</v>
      </c>
      <c r="AG11" s="3">
        <f>1.0211787</f>
        <v>1.0211787000000001</v>
      </c>
      <c r="AH11" s="3">
        <f>0.983376</f>
        <v>0.98337600000000003</v>
      </c>
      <c r="AJ11" s="1" t="s">
        <v>25</v>
      </c>
      <c r="AK11" s="2"/>
      <c r="AL11" s="2"/>
      <c r="AM11" s="2"/>
      <c r="AN11" s="2"/>
      <c r="AO11" s="2"/>
      <c r="AP11" s="2"/>
      <c r="AQ11" s="3">
        <v>1.38</v>
      </c>
      <c r="AR11" s="3">
        <v>1.1499999999999999</v>
      </c>
      <c r="AS11">
        <v>0.09</v>
      </c>
    </row>
    <row r="12" spans="3:45" x14ac:dyDescent="0.25">
      <c r="C12" s="1" t="s">
        <v>12</v>
      </c>
      <c r="D12" s="8">
        <v>1.0160718086993543</v>
      </c>
      <c r="E12" s="8">
        <v>5.7749423639474794E-2</v>
      </c>
      <c r="F12" s="8">
        <f t="shared" si="0"/>
        <v>5.8677561328706405E-2</v>
      </c>
      <c r="G12" s="8">
        <f>G24*6/20</f>
        <v>1</v>
      </c>
      <c r="H12" s="8">
        <f t="shared" si="1"/>
        <v>0.98418240860365236</v>
      </c>
      <c r="I12" s="8">
        <f t="shared" si="2"/>
        <v>5.6835966852971001E-2</v>
      </c>
      <c r="J12" s="2"/>
      <c r="K12" s="2"/>
      <c r="L12" s="2"/>
      <c r="M12" s="8">
        <f>1.3468999</f>
        <v>1.3468998999999999</v>
      </c>
      <c r="N12" s="8">
        <f t="shared" si="5"/>
        <v>1.3255951877300185</v>
      </c>
      <c r="O12" s="8">
        <f t="shared" si="6"/>
        <v>7.6552358070669957E-2</v>
      </c>
      <c r="P12" s="1">
        <f t="shared" ref="P12:P14" si="18">AP13</f>
        <v>1.53</v>
      </c>
      <c r="Q12" s="8">
        <f t="shared" si="8"/>
        <v>1.5057990851635881</v>
      </c>
      <c r="R12" s="8">
        <f t="shared" si="9"/>
        <v>8.6959029285045633E-2</v>
      </c>
      <c r="S12" s="8">
        <f t="shared" ref="S12:S14" si="19">AQ13</f>
        <v>1.8959999999999999</v>
      </c>
      <c r="T12" s="8">
        <f t="shared" si="16"/>
        <v>1.8660098467125248</v>
      </c>
      <c r="U12" s="8">
        <f t="shared" si="17"/>
        <v>0.10776099315323301</v>
      </c>
      <c r="V12" s="8">
        <v>1.2391752599999999</v>
      </c>
      <c r="W12" s="8">
        <f t="shared" si="10"/>
        <v>1.2195744920688569</v>
      </c>
      <c r="X12" s="8">
        <f t="shared" si="11"/>
        <v>7.0429724002381705E-2</v>
      </c>
      <c r="Y12" s="8">
        <v>1.38</v>
      </c>
      <c r="Z12" s="8">
        <f t="shared" si="12"/>
        <v>1.3581717238730402</v>
      </c>
      <c r="AA12" s="8">
        <f t="shared" si="13"/>
        <v>7.8433634257099982E-2</v>
      </c>
      <c r="AB12" s="14"/>
      <c r="AC12" s="1" t="s">
        <v>12</v>
      </c>
      <c r="AD12" s="3">
        <v>0.76407707562429372</v>
      </c>
      <c r="AE12" s="3">
        <v>4.5316661777583027E-2</v>
      </c>
      <c r="AF12" s="3">
        <f t="shared" si="14"/>
        <v>3.4625422408070844E-2</v>
      </c>
      <c r="AG12" s="2"/>
      <c r="AH12" s="3">
        <f>0.961747</f>
        <v>0.96174700000000002</v>
      </c>
      <c r="AJ12" s="1" t="s">
        <v>11</v>
      </c>
      <c r="AK12" s="3">
        <v>1.1684836817594646</v>
      </c>
      <c r="AL12" s="3">
        <v>3.12575352751202E-2</v>
      </c>
      <c r="AM12" s="3">
        <f>AL12*AK12</f>
        <v>3.6523919900998791E-2</v>
      </c>
      <c r="AN12" s="3">
        <f>0.836648</f>
        <v>0.83664799999999995</v>
      </c>
      <c r="AO12" s="3">
        <v>1.179</v>
      </c>
      <c r="AP12" s="1">
        <v>1.1599999999999999</v>
      </c>
      <c r="AQ12" s="3">
        <v>1.58</v>
      </c>
      <c r="AR12" s="2"/>
    </row>
    <row r="13" spans="3:45" x14ac:dyDescent="0.25">
      <c r="C13" s="1" t="s">
        <v>13</v>
      </c>
      <c r="D13" s="8">
        <v>1.1665619203049133</v>
      </c>
      <c r="E13" s="8">
        <v>5.4790221955939668E-2</v>
      </c>
      <c r="F13" s="8">
        <f t="shared" si="0"/>
        <v>6.3916186538853406E-2</v>
      </c>
      <c r="G13" s="8">
        <f>G25*6/26</f>
        <v>1</v>
      </c>
      <c r="H13" s="8">
        <f t="shared" si="1"/>
        <v>0.85721982056350876</v>
      </c>
      <c r="I13" s="8">
        <f t="shared" si="2"/>
        <v>4.6967264233705418E-2</v>
      </c>
      <c r="J13" s="2"/>
      <c r="K13" s="2"/>
      <c r="L13" s="2"/>
      <c r="M13" s="8">
        <f>1.17876555</f>
        <v>1.1787655500000001</v>
      </c>
      <c r="N13" s="8">
        <f t="shared" si="5"/>
        <v>1.0104611932574457</v>
      </c>
      <c r="O13" s="8">
        <f t="shared" si="6"/>
        <v>5.5363393056439093E-2</v>
      </c>
      <c r="P13" s="1">
        <f t="shared" si="18"/>
        <v>1.35</v>
      </c>
      <c r="Q13" s="8">
        <f t="shared" si="8"/>
        <v>1.1572467577607368</v>
      </c>
      <c r="R13" s="8">
        <f t="shared" si="9"/>
        <v>6.3405806715502319E-2</v>
      </c>
      <c r="S13" s="8">
        <f t="shared" si="19"/>
        <v>1.782</v>
      </c>
      <c r="T13" s="8">
        <f t="shared" si="16"/>
        <v>1.5275657202441726</v>
      </c>
      <c r="U13" s="8">
        <f t="shared" si="17"/>
        <v>8.369566486446306E-2</v>
      </c>
      <c r="V13" s="8">
        <v>1.1395717700000001</v>
      </c>
      <c r="W13" s="8">
        <f t="shared" si="10"/>
        <v>0.9768635081986401</v>
      </c>
      <c r="X13" s="8">
        <f t="shared" si="11"/>
        <v>5.3522568434861383E-2</v>
      </c>
      <c r="Y13" s="8">
        <v>1.24</v>
      </c>
      <c r="Z13" s="8">
        <f t="shared" si="12"/>
        <v>1.0629525774987507</v>
      </c>
      <c r="AA13" s="8">
        <f t="shared" si="13"/>
        <v>5.8239407649794711E-2</v>
      </c>
      <c r="AB13" s="14"/>
      <c r="AC13" s="1" t="s">
        <v>13</v>
      </c>
      <c r="AD13" s="3">
        <v>0.84113746648645049</v>
      </c>
      <c r="AE13" s="3">
        <v>4.5185209893139094E-2</v>
      </c>
      <c r="AF13" s="3">
        <f t="shared" si="14"/>
        <v>3.8006972972173515E-2</v>
      </c>
      <c r="AG13" s="2"/>
      <c r="AH13" s="3">
        <f>0.9736157</f>
        <v>0.97361569999999997</v>
      </c>
      <c r="AJ13" s="1" t="s">
        <v>12</v>
      </c>
      <c r="AK13" s="3">
        <v>1.3298027661269207</v>
      </c>
      <c r="AL13" s="3">
        <v>3.7804799606438323E-2</v>
      </c>
      <c r="AM13" s="3">
        <f t="shared" ref="AM13:AM15" si="20">AL13*AK13</f>
        <v>5.0272927089515605E-2</v>
      </c>
      <c r="AN13" s="4"/>
      <c r="AO13" s="3">
        <v>1.401</v>
      </c>
      <c r="AP13" s="1">
        <v>1.53</v>
      </c>
      <c r="AQ13" s="1">
        <v>1.8959999999999999</v>
      </c>
      <c r="AR13" s="2"/>
    </row>
    <row r="14" spans="3:45" x14ac:dyDescent="0.25">
      <c r="C14" s="1" t="s">
        <v>14</v>
      </c>
      <c r="D14" s="8">
        <v>1.2620703287346302</v>
      </c>
      <c r="E14" s="8">
        <v>7.7644041606789976E-2</v>
      </c>
      <c r="F14" s="8">
        <f t="shared" si="0"/>
        <v>9.7992241114966724E-2</v>
      </c>
      <c r="G14" s="8">
        <f>G26*6/79</f>
        <v>1.1000000000000001</v>
      </c>
      <c r="H14" s="8">
        <f t="shared" si="1"/>
        <v>0.87158375801677856</v>
      </c>
      <c r="I14" s="8">
        <f t="shared" si="2"/>
        <v>6.7673285571257125E-2</v>
      </c>
      <c r="J14" s="2"/>
      <c r="K14" s="2"/>
      <c r="L14" s="2"/>
      <c r="M14" s="8">
        <v>1.5840000000000001</v>
      </c>
      <c r="N14" s="8">
        <f t="shared" si="5"/>
        <v>1.2550806115441611</v>
      </c>
      <c r="O14" s="8">
        <f t="shared" si="6"/>
        <v>9.7449531222610256E-2</v>
      </c>
      <c r="P14" s="1">
        <f t="shared" si="18"/>
        <v>1.73</v>
      </c>
      <c r="Q14" s="8">
        <f t="shared" si="8"/>
        <v>1.3707635466991153</v>
      </c>
      <c r="R14" s="8">
        <f t="shared" si="9"/>
        <v>0.1064316218529771</v>
      </c>
      <c r="S14" s="8">
        <f t="shared" si="19"/>
        <v>2.6880000000000002</v>
      </c>
      <c r="T14" s="8">
        <f t="shared" si="16"/>
        <v>2.1298337650446371</v>
      </c>
      <c r="U14" s="8">
        <f t="shared" si="17"/>
        <v>0.16536890146867195</v>
      </c>
      <c r="V14" s="8">
        <v>1.3519509300000001</v>
      </c>
      <c r="W14" s="8">
        <f t="shared" si="10"/>
        <v>1.0712167929306171</v>
      </c>
      <c r="X14" s="8">
        <f t="shared" si="11"/>
        <v>8.3173601240196959E-2</v>
      </c>
      <c r="Y14" s="8">
        <v>1.52</v>
      </c>
      <c r="Z14" s="8">
        <f t="shared" si="12"/>
        <v>1.204370283805003</v>
      </c>
      <c r="AA14" s="8">
        <f t="shared" si="13"/>
        <v>9.3512176425737101E-2</v>
      </c>
      <c r="AB14" s="14"/>
      <c r="AC14" s="1" t="s">
        <v>14</v>
      </c>
      <c r="AD14" s="3">
        <v>0.80193353792293542</v>
      </c>
      <c r="AE14" s="3">
        <v>5.747593155163512E-2</v>
      </c>
      <c r="AF14" s="3">
        <f t="shared" si="14"/>
        <v>4.6091877134619222E-2</v>
      </c>
      <c r="AG14" s="2"/>
      <c r="AH14" s="1">
        <v>0.95399999999999996</v>
      </c>
      <c r="AJ14" s="1" t="s">
        <v>13</v>
      </c>
      <c r="AK14" s="3">
        <v>1.3868861711484646</v>
      </c>
      <c r="AL14" s="3">
        <v>3.4006073057359976E-2</v>
      </c>
      <c r="AM14" s="3">
        <f t="shared" si="20"/>
        <v>4.7162552458316936E-2</v>
      </c>
      <c r="AN14" s="4"/>
      <c r="AO14" s="3">
        <v>1.21</v>
      </c>
      <c r="AP14" s="1">
        <v>1.35</v>
      </c>
      <c r="AQ14" s="1">
        <v>1.782</v>
      </c>
      <c r="AR14" s="3">
        <v>1.36</v>
      </c>
      <c r="AS14">
        <v>0.08</v>
      </c>
    </row>
    <row r="15" spans="3:45" x14ac:dyDescent="0.25">
      <c r="AJ15" s="1" t="s">
        <v>14</v>
      </c>
      <c r="AK15" s="3">
        <v>1.5737841966349002</v>
      </c>
      <c r="AL15" s="3">
        <v>5.9662848200200888E-2</v>
      </c>
      <c r="AM15" s="3">
        <f t="shared" si="20"/>
        <v>9.3896447623703153E-2</v>
      </c>
      <c r="AN15" s="4"/>
      <c r="AO15" s="4"/>
      <c r="AP15" s="1">
        <v>1.73</v>
      </c>
      <c r="AQ15" s="1">
        <v>2.6880000000000002</v>
      </c>
      <c r="AR15" s="2"/>
    </row>
    <row r="16" spans="3:45" x14ac:dyDescent="0.25">
      <c r="AJ16" s="1" t="s">
        <v>26</v>
      </c>
      <c r="AK16" s="2"/>
      <c r="AL16" s="2"/>
      <c r="AM16" s="2"/>
      <c r="AN16" s="2"/>
      <c r="AO16" s="2"/>
      <c r="AP16" s="2"/>
      <c r="AQ16" s="2"/>
      <c r="AR16" s="8">
        <v>1.5</v>
      </c>
      <c r="AS16">
        <v>0.1</v>
      </c>
    </row>
    <row r="17" spans="3:44" x14ac:dyDescent="0.25">
      <c r="C17" s="24" t="s">
        <v>16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AC17" s="17" t="s">
        <v>19</v>
      </c>
      <c r="AD17" s="17"/>
      <c r="AE17" s="17"/>
      <c r="AF17" s="17"/>
      <c r="AG17" s="17"/>
      <c r="AH17" s="17"/>
    </row>
    <row r="18" spans="3:44" x14ac:dyDescent="0.25">
      <c r="C18" s="1" t="s">
        <v>0</v>
      </c>
      <c r="D18" s="1" t="s">
        <v>1</v>
      </c>
      <c r="E18" s="1" t="s">
        <v>29</v>
      </c>
      <c r="F18" s="1" t="s">
        <v>2</v>
      </c>
      <c r="G18" s="15" t="s">
        <v>4</v>
      </c>
      <c r="H18" s="15"/>
      <c r="I18" s="15"/>
      <c r="J18" s="15" t="s">
        <v>15</v>
      </c>
      <c r="K18" s="15"/>
      <c r="L18" s="15"/>
      <c r="M18" s="15" t="s">
        <v>3</v>
      </c>
      <c r="N18" s="15"/>
      <c r="O18" s="15"/>
      <c r="P18" s="15" t="s">
        <v>5</v>
      </c>
      <c r="Q18" s="15"/>
      <c r="R18" s="15"/>
      <c r="S18" s="16" t="s">
        <v>6</v>
      </c>
      <c r="T18" s="16"/>
      <c r="U18" s="16"/>
      <c r="V18" s="15" t="s">
        <v>35</v>
      </c>
      <c r="W18" s="15"/>
      <c r="X18" s="15"/>
      <c r="Y18" s="12"/>
      <c r="AC18" s="1" t="s">
        <v>0</v>
      </c>
      <c r="AD18" s="1" t="s">
        <v>1</v>
      </c>
      <c r="AE18" s="1" t="s">
        <v>29</v>
      </c>
      <c r="AF18" s="1" t="s">
        <v>2</v>
      </c>
      <c r="AG18" s="1" t="s">
        <v>15</v>
      </c>
      <c r="AH18" s="1" t="s">
        <v>3</v>
      </c>
    </row>
    <row r="19" spans="3:44" x14ac:dyDescent="0.25">
      <c r="C19" s="1" t="s">
        <v>7</v>
      </c>
      <c r="D19" s="8">
        <f>D7*4/6</f>
        <v>0.5338330748463439</v>
      </c>
      <c r="E19" s="8">
        <v>5.1074959964091983E-2</v>
      </c>
      <c r="F19" s="8">
        <f>E19*D19</f>
        <v>2.7265502925285134E-2</v>
      </c>
      <c r="G19" s="3">
        <f>4/6</f>
        <v>0.66666666666666663</v>
      </c>
      <c r="H19" s="3"/>
      <c r="I19" s="3"/>
      <c r="J19" s="3">
        <f>J7*4/6</f>
        <v>0.6226666666666667</v>
      </c>
      <c r="K19" s="3"/>
      <c r="L19" s="3"/>
      <c r="M19" s="7">
        <f>M7*4/6</f>
        <v>0.68316366666666672</v>
      </c>
      <c r="N19" s="7"/>
      <c r="O19" s="7"/>
      <c r="P19" s="3">
        <f>P7*4/6</f>
        <v>0.52</v>
      </c>
      <c r="Q19" s="3"/>
      <c r="R19" s="3"/>
      <c r="S19" s="3">
        <f>S7*4/6</f>
        <v>0.63126666666666664</v>
      </c>
      <c r="T19" s="3"/>
      <c r="U19" s="3"/>
      <c r="V19" s="3">
        <f>V7*4/6</f>
        <v>0.67353951999999995</v>
      </c>
      <c r="W19" s="1"/>
      <c r="X19" s="1"/>
      <c r="Y19" s="3">
        <f>Y7*4/6</f>
        <v>0.60666666666666669</v>
      </c>
      <c r="AC19" s="1" t="s">
        <v>7</v>
      </c>
      <c r="AD19" s="3">
        <v>0.53378075873662156</v>
      </c>
      <c r="AE19" s="3">
        <v>4.5136809962827124E-2</v>
      </c>
      <c r="AF19" s="3">
        <f>AE19*AD19</f>
        <v>2.4093160668908563E-2</v>
      </c>
      <c r="AG19" s="3">
        <f>AG7*4/6</f>
        <v>0.68618600000000007</v>
      </c>
      <c r="AH19" s="3">
        <f>AH7*4/6</f>
        <v>0.66655799999999998</v>
      </c>
      <c r="AJ19" s="18" t="s">
        <v>28</v>
      </c>
      <c r="AK19" s="19"/>
      <c r="AL19" s="19"/>
      <c r="AM19" s="19"/>
      <c r="AN19" s="19"/>
      <c r="AO19" s="19"/>
      <c r="AP19" s="19"/>
      <c r="AQ19" s="19"/>
      <c r="AR19" s="20"/>
    </row>
    <row r="20" spans="3:44" x14ac:dyDescent="0.25">
      <c r="C20" s="1" t="s">
        <v>8</v>
      </c>
      <c r="D20" s="8">
        <f>D8*5/6</f>
        <v>0.76751629481708239</v>
      </c>
      <c r="E20" s="8">
        <v>3.9753409693524748E-2</v>
      </c>
      <c r="F20" s="8">
        <f t="shared" ref="F20:F26" si="21">E20*D20</f>
        <v>3.05113897143196E-2</v>
      </c>
      <c r="G20" s="3">
        <f>4/6</f>
        <v>0.66666666666666663</v>
      </c>
      <c r="H20" s="3"/>
      <c r="I20" s="3"/>
      <c r="J20" s="3">
        <f t="shared" ref="J20:P21" si="22">J8*5/6</f>
        <v>0.7466666666666667</v>
      </c>
      <c r="K20" s="3"/>
      <c r="L20" s="3"/>
      <c r="M20" s="7">
        <f t="shared" si="22"/>
        <v>0.81140549999999989</v>
      </c>
      <c r="N20" s="7"/>
      <c r="O20" s="7"/>
      <c r="P20" s="3">
        <f t="shared" si="22"/>
        <v>0.71666666666666667</v>
      </c>
      <c r="Q20" s="3"/>
      <c r="R20" s="3"/>
      <c r="S20" s="4"/>
      <c r="T20" s="4"/>
      <c r="U20" s="4"/>
      <c r="V20" s="3">
        <f t="shared" ref="V20" si="23">V8*5/6</f>
        <v>0.79725085833333331</v>
      </c>
      <c r="W20" s="1"/>
      <c r="X20" s="1"/>
      <c r="Y20" s="3">
        <f t="shared" ref="Y20:Y21" si="24">Y8*5/6</f>
        <v>0</v>
      </c>
      <c r="AC20" s="1" t="s">
        <v>8</v>
      </c>
      <c r="AD20" s="3">
        <v>0.76751759150539356</v>
      </c>
      <c r="AE20" s="3">
        <v>2.882385543244843E-2</v>
      </c>
      <c r="AF20" s="3">
        <f t="shared" ref="AF20:AF26" si="25">AE20*AD20</f>
        <v>2.2122816099412475E-2</v>
      </c>
      <c r="AG20" s="3">
        <f>AG8*5/6</f>
        <v>0.85159833333333346</v>
      </c>
      <c r="AH20" s="3">
        <f t="shared" ref="AH20:AH21" si="26">AH8*4/6</f>
        <v>0.67071006666666666</v>
      </c>
      <c r="AJ20" s="1" t="s">
        <v>0</v>
      </c>
      <c r="AK20" s="1" t="s">
        <v>1</v>
      </c>
      <c r="AL20" s="1" t="s">
        <v>29</v>
      </c>
      <c r="AM20" s="1" t="s">
        <v>2</v>
      </c>
      <c r="AN20" s="1" t="s">
        <v>15</v>
      </c>
      <c r="AO20" s="1" t="s">
        <v>3</v>
      </c>
      <c r="AP20" s="1" t="s">
        <v>5</v>
      </c>
      <c r="AQ20" s="1" t="s">
        <v>6</v>
      </c>
      <c r="AR20" s="1" t="s">
        <v>24</v>
      </c>
    </row>
    <row r="21" spans="3:44" x14ac:dyDescent="0.25">
      <c r="C21" s="1" t="s">
        <v>9</v>
      </c>
      <c r="D21" s="8">
        <f>D9*5/6</f>
        <v>0.83360787016857396</v>
      </c>
      <c r="E21" s="8">
        <v>3.9087222204186957E-2</v>
      </c>
      <c r="F21" s="8">
        <f t="shared" si="21"/>
        <v>3.2583416052438079E-2</v>
      </c>
      <c r="G21" s="3">
        <f>5/6</f>
        <v>0.83333333333333337</v>
      </c>
      <c r="H21" s="3"/>
      <c r="I21" s="3"/>
      <c r="J21" s="3">
        <f t="shared" si="22"/>
        <v>0.84249999999999992</v>
      </c>
      <c r="K21" s="3"/>
      <c r="L21" s="3"/>
      <c r="M21" s="7">
        <f t="shared" si="22"/>
        <v>0.86558716666666669</v>
      </c>
      <c r="N21" s="7"/>
      <c r="O21" s="7"/>
      <c r="P21" s="3">
        <f t="shared" si="22"/>
        <v>0.85</v>
      </c>
      <c r="Q21" s="3"/>
      <c r="R21" s="3"/>
      <c r="S21" s="4"/>
      <c r="T21" s="4"/>
      <c r="U21" s="4"/>
      <c r="V21" s="3">
        <f t="shared" ref="V21" si="27">V9*5/6</f>
        <v>0.86597938333333335</v>
      </c>
      <c r="W21" s="1"/>
      <c r="X21" s="1"/>
      <c r="Y21" s="3">
        <f t="shared" si="24"/>
        <v>0.85</v>
      </c>
      <c r="AC21" s="1" t="s">
        <v>9</v>
      </c>
      <c r="AD21" s="3">
        <v>0.83361772581748761</v>
      </c>
      <c r="AE21" s="3">
        <v>2.8646958347869119E-2</v>
      </c>
      <c r="AF21" s="3">
        <f t="shared" si="25"/>
        <v>2.3880612269538946E-2</v>
      </c>
      <c r="AG21" s="3">
        <f>AG9*5/6</f>
        <v>0.83750666666666662</v>
      </c>
      <c r="AH21" s="3">
        <f t="shared" si="26"/>
        <v>0.661632</v>
      </c>
      <c r="AJ21" s="1" t="s">
        <v>11</v>
      </c>
      <c r="AK21" s="3">
        <v>1</v>
      </c>
      <c r="AL21" s="3">
        <v>0</v>
      </c>
      <c r="AM21" s="3">
        <f>AL21*AK21</f>
        <v>0</v>
      </c>
      <c r="AN21" s="3">
        <v>1</v>
      </c>
      <c r="AO21" s="3">
        <f>AO12/$AO$12</f>
        <v>1</v>
      </c>
      <c r="AP21" s="3">
        <f>AP12/$AP$12</f>
        <v>1</v>
      </c>
      <c r="AQ21" s="3">
        <f>AQ12/$AQ$12</f>
        <v>1</v>
      </c>
      <c r="AR21" s="3">
        <v>1</v>
      </c>
    </row>
    <row r="22" spans="3:44" x14ac:dyDescent="0.25">
      <c r="C22" s="1" t="s">
        <v>10</v>
      </c>
      <c r="D22" s="8">
        <f>D10*6/6</f>
        <v>1</v>
      </c>
      <c r="E22" s="8">
        <v>0</v>
      </c>
      <c r="F22" s="8">
        <f t="shared" si="21"/>
        <v>0</v>
      </c>
      <c r="G22" s="3">
        <v>1</v>
      </c>
      <c r="H22" s="3"/>
      <c r="I22" s="3"/>
      <c r="J22" s="3">
        <f>1</f>
        <v>1</v>
      </c>
      <c r="K22" s="3"/>
      <c r="L22" s="3"/>
      <c r="M22" s="3">
        <f>1</f>
        <v>1</v>
      </c>
      <c r="N22" s="3"/>
      <c r="O22" s="3"/>
      <c r="P22" s="3">
        <f>1</f>
        <v>1</v>
      </c>
      <c r="Q22" s="3"/>
      <c r="R22" s="3"/>
      <c r="S22" s="3">
        <f>S10*6/6</f>
        <v>1</v>
      </c>
      <c r="T22" s="3"/>
      <c r="U22" s="3"/>
      <c r="V22" s="3">
        <f>1</f>
        <v>1</v>
      </c>
      <c r="W22" s="1"/>
      <c r="X22" s="1"/>
      <c r="Y22" s="3">
        <f>1</f>
        <v>1</v>
      </c>
      <c r="AC22" s="1" t="s">
        <v>10</v>
      </c>
      <c r="AD22" s="3">
        <v>1</v>
      </c>
      <c r="AE22" s="3">
        <v>0</v>
      </c>
      <c r="AF22" s="3">
        <f t="shared" si="25"/>
        <v>0</v>
      </c>
      <c r="AG22" s="3">
        <f>1</f>
        <v>1</v>
      </c>
      <c r="AH22" s="3">
        <f>1</f>
        <v>1</v>
      </c>
      <c r="AJ22" s="1" t="s">
        <v>12</v>
      </c>
      <c r="AK22" s="3">
        <v>1.138058482874615</v>
      </c>
      <c r="AL22" s="3">
        <v>2.1501810535268458E-2</v>
      </c>
      <c r="AM22" s="3">
        <f t="shared" ref="AM22:AM23" si="28">AL22*AK22</f>
        <v>2.4470317876825035E-2</v>
      </c>
      <c r="AN22" s="4"/>
      <c r="AO22" s="3">
        <f t="shared" ref="AO22:AO23" si="29">AO13/$AO$12</f>
        <v>1.1882951653944021</v>
      </c>
      <c r="AP22" s="3">
        <v>1.31856</v>
      </c>
      <c r="AQ22" s="3">
        <f t="shared" ref="AQ22:AQ23" si="30">AQ13/$AQ$12</f>
        <v>1.2</v>
      </c>
      <c r="AR22" s="2"/>
    </row>
    <row r="23" spans="3:44" x14ac:dyDescent="0.25">
      <c r="C23" s="1" t="s">
        <v>11</v>
      </c>
      <c r="D23" s="8">
        <f>D11*20/6</f>
        <v>3.0903471159271909</v>
      </c>
      <c r="E23" s="8">
        <v>5.3401500944900163E-2</v>
      </c>
      <c r="F23" s="8">
        <f t="shared" si="21"/>
        <v>0.16502917443125537</v>
      </c>
      <c r="G23" s="3">
        <f>20/6</f>
        <v>3.3333333333333335</v>
      </c>
      <c r="H23" s="3"/>
      <c r="I23" s="3"/>
      <c r="J23" s="3">
        <f t="shared" ref="J23" si="31">J11*20/6</f>
        <v>2.8466666666666662</v>
      </c>
      <c r="K23" s="3"/>
      <c r="L23" s="3"/>
      <c r="M23" s="3">
        <f>M11*20/6</f>
        <v>3.8604566666666664</v>
      </c>
      <c r="N23" s="3"/>
      <c r="O23" s="3"/>
      <c r="P23" s="3">
        <f>P11*20/6</f>
        <v>3.8666666666666667</v>
      </c>
      <c r="Q23" s="3"/>
      <c r="R23" s="3"/>
      <c r="S23" s="3">
        <f>S11*20/6</f>
        <v>5.2666666666666666</v>
      </c>
      <c r="T23" s="3"/>
      <c r="U23" s="3"/>
      <c r="V23" s="3">
        <f>V11*20/6</f>
        <v>3.6804123666666668</v>
      </c>
      <c r="W23" s="3"/>
      <c r="X23" s="3"/>
      <c r="Y23" s="3">
        <f>Y11*20/6</f>
        <v>4.1000000000000005</v>
      </c>
      <c r="Z23" s="10"/>
      <c r="AA23" s="6"/>
      <c r="AB23" s="6"/>
      <c r="AC23" s="1" t="s">
        <v>11</v>
      </c>
      <c r="AD23" s="3">
        <v>3.090348113295208</v>
      </c>
      <c r="AE23" s="3">
        <v>4.5149334996312497E-2</v>
      </c>
      <c r="AF23" s="3">
        <f t="shared" si="25"/>
        <v>0.13952716222238762</v>
      </c>
      <c r="AG23" s="3">
        <f t="shared" ref="AG23" si="32">AG11*20/6</f>
        <v>3.4039290000000002</v>
      </c>
      <c r="AH23" s="3">
        <f>AH11*20/6</f>
        <v>3.2779199999999999</v>
      </c>
      <c r="AJ23" s="1" t="s">
        <v>13</v>
      </c>
      <c r="AK23" s="3">
        <v>1.1869110307643636</v>
      </c>
      <c r="AL23" s="3">
        <v>2.2636962995061953E-2</v>
      </c>
      <c r="AM23" s="3">
        <f t="shared" si="28"/>
        <v>2.6868061081843735E-2</v>
      </c>
      <c r="AN23" s="4"/>
      <c r="AO23" s="3">
        <f t="shared" si="29"/>
        <v>1.0262934690415606</v>
      </c>
      <c r="AP23" s="3">
        <v>1.1485300000000001</v>
      </c>
      <c r="AQ23" s="3">
        <f t="shared" si="30"/>
        <v>1.1278481012658228</v>
      </c>
      <c r="AR23" s="2"/>
    </row>
    <row r="24" spans="3:44" x14ac:dyDescent="0.25">
      <c r="C24" s="1" t="s">
        <v>12</v>
      </c>
      <c r="D24" s="8">
        <f>D12*20/6</f>
        <v>3.3869060289978479</v>
      </c>
      <c r="E24" s="8">
        <v>5.7749423639474794E-2</v>
      </c>
      <c r="F24" s="8">
        <f t="shared" si="21"/>
        <v>0.19559187109568801</v>
      </c>
      <c r="G24" s="3">
        <f>20/6</f>
        <v>3.3333333333333335</v>
      </c>
      <c r="H24" s="3"/>
      <c r="I24" s="3"/>
      <c r="J24" s="4"/>
      <c r="K24" s="4"/>
      <c r="L24" s="4"/>
      <c r="M24" s="3">
        <f>M12*20/6</f>
        <v>4.4896663333333331</v>
      </c>
      <c r="N24" s="3"/>
      <c r="O24" s="3">
        <f t="shared" ref="O24" si="33">O39*20/6</f>
        <v>0</v>
      </c>
      <c r="P24" s="3">
        <f t="shared" ref="P24" si="34">P12*20/6</f>
        <v>5.1000000000000005</v>
      </c>
      <c r="Q24" s="3"/>
      <c r="R24" s="3"/>
      <c r="S24" s="3">
        <f>S12*20/6</f>
        <v>6.32</v>
      </c>
      <c r="T24" s="3"/>
      <c r="U24" s="3"/>
      <c r="V24" s="3">
        <f t="shared" ref="V24" si="35">V12*20/6</f>
        <v>4.1305841999999995</v>
      </c>
      <c r="W24" s="1"/>
      <c r="X24" s="1"/>
      <c r="Y24" s="3">
        <f t="shared" ref="Y24" si="36">Y12*20/6</f>
        <v>4.5999999999999996</v>
      </c>
      <c r="AC24" s="1" t="s">
        <v>12</v>
      </c>
      <c r="AD24" s="3">
        <v>3.3869370929456588</v>
      </c>
      <c r="AE24" s="3">
        <v>4.5316661777583027E-2</v>
      </c>
      <c r="AF24" s="3">
        <f t="shared" si="25"/>
        <v>0.15348468270296872</v>
      </c>
      <c r="AG24" s="4"/>
      <c r="AH24" s="3">
        <f>AH12*20/6</f>
        <v>3.2058233333333335</v>
      </c>
      <c r="AK24">
        <f>AK23/AK22</f>
        <v>1.0429262191924902</v>
      </c>
      <c r="AO24">
        <f>AO23/AO22</f>
        <v>0.8636688079942898</v>
      </c>
      <c r="AQ24">
        <f>AQ23/AQ22</f>
        <v>0.939873417721519</v>
      </c>
    </row>
    <row r="25" spans="3:44" x14ac:dyDescent="0.25">
      <c r="C25" s="1" t="s">
        <v>13</v>
      </c>
      <c r="D25" s="8">
        <f>D13*26/6</f>
        <v>5.0551016546546244</v>
      </c>
      <c r="E25" s="8">
        <v>5.4790221955939668E-2</v>
      </c>
      <c r="F25" s="8">
        <f t="shared" si="21"/>
        <v>0.27697014166836476</v>
      </c>
      <c r="G25" s="27">
        <f>26/6</f>
        <v>4.333333333333333</v>
      </c>
      <c r="H25" s="3"/>
      <c r="I25" s="3"/>
      <c r="J25" s="4"/>
      <c r="K25" s="4"/>
      <c r="L25" s="4"/>
      <c r="M25" s="3">
        <f>M13*26/6</f>
        <v>5.1079840499999998</v>
      </c>
      <c r="N25" s="3"/>
      <c r="O25" s="3">
        <f>O40*26/6</f>
        <v>0</v>
      </c>
      <c r="P25" s="3">
        <f t="shared" ref="P25" si="37">P13*26/6</f>
        <v>5.8500000000000005</v>
      </c>
      <c r="Q25" s="3"/>
      <c r="R25" s="3"/>
      <c r="S25" s="3">
        <f>S13*26/6</f>
        <v>7.7220000000000004</v>
      </c>
      <c r="T25" s="3"/>
      <c r="U25" s="3"/>
      <c r="V25" s="3">
        <f t="shared" ref="V25" si="38">V13*26/6</f>
        <v>4.9381443366666673</v>
      </c>
      <c r="W25" s="1"/>
      <c r="X25" s="1"/>
      <c r="Y25" s="3">
        <f t="shared" ref="Y25" si="39">Y13*26/6</f>
        <v>5.373333333333334</v>
      </c>
      <c r="AC25" s="1" t="s">
        <v>13</v>
      </c>
      <c r="AD25" s="3">
        <v>5.0550764058421533</v>
      </c>
      <c r="AE25" s="3">
        <v>4.5185209893139094E-2</v>
      </c>
      <c r="AF25" s="3">
        <f t="shared" si="25"/>
        <v>0.22841468842383289</v>
      </c>
      <c r="AG25" s="4"/>
      <c r="AH25" s="3">
        <f>AH13*26/6</f>
        <v>4.2190013666666664</v>
      </c>
      <c r="AP25">
        <v>1.3069999999999999</v>
      </c>
    </row>
    <row r="26" spans="3:44" x14ac:dyDescent="0.25">
      <c r="C26" s="1" t="s">
        <v>14</v>
      </c>
      <c r="D26" s="8">
        <f>D14*79/6</f>
        <v>16.617259328339298</v>
      </c>
      <c r="E26" s="8">
        <v>7.7644041606789976E-2</v>
      </c>
      <c r="F26" s="8">
        <f t="shared" si="21"/>
        <v>1.2902311746803954</v>
      </c>
      <c r="G26" s="3">
        <f>79/6*(1.1)</f>
        <v>14.483333333333334</v>
      </c>
      <c r="H26" s="3"/>
      <c r="I26" s="3"/>
      <c r="J26" s="4"/>
      <c r="K26" s="4"/>
      <c r="L26" s="4"/>
      <c r="M26" s="3">
        <f>M14*79/6</f>
        <v>20.856000000000002</v>
      </c>
      <c r="N26" s="3"/>
      <c r="O26" s="3"/>
      <c r="P26" s="3">
        <f>P14*79/6</f>
        <v>22.778333333333332</v>
      </c>
      <c r="Q26" s="3"/>
      <c r="R26" s="3"/>
      <c r="S26" s="3">
        <f>S14*79/6</f>
        <v>35.392000000000003</v>
      </c>
      <c r="T26" s="3"/>
      <c r="U26" s="3"/>
      <c r="V26" s="3">
        <f>V14*79/6</f>
        <v>17.800687245000002</v>
      </c>
      <c r="W26" s="1"/>
      <c r="X26" s="1"/>
      <c r="Y26" s="3">
        <f>Y14*79/6</f>
        <v>20.013333333333332</v>
      </c>
      <c r="AC26" s="1" t="s">
        <v>14</v>
      </c>
      <c r="AD26" s="3">
        <v>16.617489293045335</v>
      </c>
      <c r="AE26" s="3">
        <v>5.747593155163512E-2</v>
      </c>
      <c r="AF26" s="3">
        <f t="shared" si="25"/>
        <v>0.95510567716710315</v>
      </c>
      <c r="AG26" s="4"/>
      <c r="AH26" s="3">
        <f>AH14*79/6</f>
        <v>12.561</v>
      </c>
      <c r="AP26" s="9">
        <v>1.538</v>
      </c>
    </row>
    <row r="29" spans="3:44" x14ac:dyDescent="0.25">
      <c r="C29" s="25" t="s">
        <v>20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11"/>
      <c r="AC29" s="17" t="s">
        <v>21</v>
      </c>
      <c r="AD29" s="17"/>
      <c r="AE29" s="17"/>
      <c r="AF29" s="17"/>
      <c r="AG29" s="17"/>
      <c r="AH29" s="17"/>
    </row>
    <row r="30" spans="3:44" x14ac:dyDescent="0.25">
      <c r="C30" s="1" t="s">
        <v>0</v>
      </c>
      <c r="D30" s="1" t="s">
        <v>1</v>
      </c>
      <c r="E30" s="1" t="s">
        <v>29</v>
      </c>
      <c r="F30" s="1" t="s">
        <v>2</v>
      </c>
      <c r="G30" s="21" t="s">
        <v>4</v>
      </c>
      <c r="H30" s="22"/>
      <c r="I30" s="23"/>
      <c r="J30" s="21" t="s">
        <v>15</v>
      </c>
      <c r="K30" s="22"/>
      <c r="L30" s="23"/>
      <c r="M30" s="21" t="s">
        <v>3</v>
      </c>
      <c r="N30" s="22"/>
      <c r="O30" s="23"/>
      <c r="P30" s="18" t="s">
        <v>5</v>
      </c>
      <c r="Q30" s="19"/>
      <c r="R30" s="20"/>
      <c r="S30" s="16" t="s">
        <v>6</v>
      </c>
      <c r="T30" s="16"/>
      <c r="U30" s="16"/>
      <c r="V30" s="15" t="s">
        <v>35</v>
      </c>
      <c r="W30" s="15"/>
      <c r="X30" s="15"/>
      <c r="Y30" s="13"/>
      <c r="AC30" s="1" t="s">
        <v>0</v>
      </c>
      <c r="AD30" s="1" t="s">
        <v>1</v>
      </c>
      <c r="AE30" s="1" t="s">
        <v>29</v>
      </c>
      <c r="AF30" s="1" t="s">
        <v>2</v>
      </c>
      <c r="AG30" s="1" t="s">
        <v>15</v>
      </c>
      <c r="AH30" s="1" t="s">
        <v>3</v>
      </c>
    </row>
    <row r="31" spans="3:44" x14ac:dyDescent="0.25">
      <c r="C31" s="1" t="s">
        <v>11</v>
      </c>
      <c r="D31" s="3">
        <v>1</v>
      </c>
      <c r="E31" s="3">
        <v>0</v>
      </c>
      <c r="F31" s="3">
        <f t="shared" ref="F31:F32" si="40">D31*E31</f>
        <v>0</v>
      </c>
      <c r="G31" s="3">
        <v>1</v>
      </c>
      <c r="H31" s="3"/>
      <c r="I31" s="3"/>
      <c r="J31" s="3">
        <v>1</v>
      </c>
      <c r="K31" s="3"/>
      <c r="L31" s="3"/>
      <c r="M31" s="3">
        <f>M11/$M$11</f>
        <v>1</v>
      </c>
      <c r="N31" s="3"/>
      <c r="O31" s="3">
        <v>1</v>
      </c>
      <c r="P31" s="3">
        <f>P11/$P$11</f>
        <v>1</v>
      </c>
      <c r="Q31" s="3"/>
      <c r="R31" s="3"/>
      <c r="S31" s="3">
        <f>S11/$S$11</f>
        <v>1</v>
      </c>
      <c r="T31" s="3"/>
      <c r="U31" s="3"/>
      <c r="V31" s="3">
        <f>V11/$V$11</f>
        <v>1</v>
      </c>
      <c r="W31" s="1"/>
      <c r="X31" s="1"/>
      <c r="AC31" s="1" t="s">
        <v>11</v>
      </c>
      <c r="AD31" s="3">
        <v>1</v>
      </c>
      <c r="AE31" s="3">
        <v>0</v>
      </c>
      <c r="AF31" s="3">
        <f>AE31*AD31</f>
        <v>0</v>
      </c>
      <c r="AG31" s="3">
        <v>1</v>
      </c>
      <c r="AH31" s="3">
        <f>AH11/$AH$11</f>
        <v>1</v>
      </c>
    </row>
    <row r="32" spans="3:44" x14ac:dyDescent="0.25">
      <c r="C32" s="1" t="s">
        <v>12</v>
      </c>
      <c r="D32" s="3">
        <v>1.0959629782499951</v>
      </c>
      <c r="E32" s="3">
        <v>2.5351898346348226E-2</v>
      </c>
      <c r="F32" s="3">
        <f t="shared" si="40"/>
        <v>2.7784742015954926E-2</v>
      </c>
      <c r="G32" s="3">
        <v>1</v>
      </c>
      <c r="H32" s="3"/>
      <c r="I32" s="3"/>
      <c r="J32" s="2"/>
      <c r="K32" s="2"/>
      <c r="L32" s="2"/>
      <c r="M32" s="3">
        <f t="shared" ref="M32" si="41">M12/$M$11</f>
        <v>1.1629884029264241</v>
      </c>
      <c r="N32" s="3"/>
      <c r="O32" s="3"/>
      <c r="P32" s="3">
        <v>1.2622</v>
      </c>
      <c r="Q32" s="3"/>
      <c r="R32" s="3"/>
      <c r="S32" s="3">
        <f t="shared" ref="S32" si="42">S12/$S$11</f>
        <v>1.2</v>
      </c>
      <c r="T32" s="3"/>
      <c r="U32" s="3"/>
      <c r="V32" s="3">
        <f t="shared" ref="V32:V33" si="43">V12/$V$11</f>
        <v>1.1223155963202709</v>
      </c>
      <c r="W32" s="1"/>
      <c r="X32" s="1"/>
      <c r="AC32" s="1" t="s">
        <v>12</v>
      </c>
      <c r="AD32" s="3">
        <v>0.96301112354235863</v>
      </c>
      <c r="AE32" s="3">
        <v>1.7850265169684121E-2</v>
      </c>
      <c r="AF32" s="3">
        <f t="shared" ref="AF32:AF33" si="44">AE32*AD32</f>
        <v>1.7190003916586538E-2</v>
      </c>
      <c r="AG32" s="2"/>
      <c r="AH32" s="3">
        <f>AH12/$AH$11</f>
        <v>0.97800536112331393</v>
      </c>
    </row>
    <row r="33" spans="3:34" x14ac:dyDescent="0.25">
      <c r="C33" s="1" t="s">
        <v>13</v>
      </c>
      <c r="D33" s="9">
        <v>1.258285748648996</v>
      </c>
      <c r="E33" s="3">
        <v>2.5399234506626921E-2</v>
      </c>
      <c r="F33" s="3">
        <f>E33*D33</f>
        <v>3.1959494806282469E-2</v>
      </c>
      <c r="G33" s="3">
        <f>1.43*20/26</f>
        <v>1.0999999999999999</v>
      </c>
      <c r="H33" s="3"/>
      <c r="I33" s="3"/>
      <c r="J33" s="2"/>
      <c r="K33" s="2"/>
      <c r="L33" s="2"/>
      <c r="M33" s="3">
        <f>M13/$M$11</f>
        <v>1.0178118391865558</v>
      </c>
      <c r="N33" s="3"/>
      <c r="O33" s="3"/>
      <c r="P33" s="3">
        <v>1.1102000000000001</v>
      </c>
      <c r="Q33" s="3"/>
      <c r="R33" s="3"/>
      <c r="S33" s="3">
        <f>S13/$S$11</f>
        <v>1.1278481012658228</v>
      </c>
      <c r="T33" s="3"/>
      <c r="U33" s="3"/>
      <c r="V33" s="3">
        <f t="shared" si="43"/>
        <v>1.0321051524199223</v>
      </c>
      <c r="W33" s="1"/>
      <c r="X33" s="1"/>
      <c r="AC33" s="1" t="s">
        <v>13</v>
      </c>
      <c r="AD33" s="3">
        <v>1.0601348509152093</v>
      </c>
      <c r="AE33" s="3">
        <v>1.7964835792492473E-2</v>
      </c>
      <c r="AF33" s="3">
        <f t="shared" si="44"/>
        <v>1.9045148514590222E-2</v>
      </c>
      <c r="AG33" s="2"/>
      <c r="AH33" s="3">
        <f t="shared" ref="AH33" si="45">AH13/$AH$11</f>
        <v>0.99007470184344537</v>
      </c>
    </row>
    <row r="34" spans="3:34" x14ac:dyDescent="0.25">
      <c r="D34">
        <f>D33/D32</f>
        <v>1.1481097205109918</v>
      </c>
      <c r="E34">
        <f>D34*E40</f>
        <v>3.0368762852282509E-2</v>
      </c>
      <c r="M34">
        <f>M33/M32</f>
        <v>0.87516937969926356</v>
      </c>
      <c r="S34">
        <f>S33/S32</f>
        <v>0.939873417721519</v>
      </c>
      <c r="V34">
        <f>V33/V32</f>
        <v>0.91962114382432092</v>
      </c>
      <c r="AD34">
        <f>AD33/AD32</f>
        <v>1.1008542113361981</v>
      </c>
    </row>
    <row r="36" spans="3:34" x14ac:dyDescent="0.25">
      <c r="C36" s="25" t="s">
        <v>22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11"/>
      <c r="AC36" s="17" t="s">
        <v>23</v>
      </c>
      <c r="AD36" s="17"/>
      <c r="AE36" s="17"/>
      <c r="AF36" s="17"/>
      <c r="AG36" s="17"/>
      <c r="AH36" s="17"/>
    </row>
    <row r="37" spans="3:34" x14ac:dyDescent="0.25">
      <c r="C37" s="1" t="s">
        <v>0</v>
      </c>
      <c r="D37" s="1" t="s">
        <v>1</v>
      </c>
      <c r="E37" s="1" t="s">
        <v>29</v>
      </c>
      <c r="F37" s="1" t="s">
        <v>2</v>
      </c>
      <c r="G37" s="21" t="s">
        <v>4</v>
      </c>
      <c r="H37" s="22"/>
      <c r="I37" s="23"/>
      <c r="J37" s="21" t="s">
        <v>15</v>
      </c>
      <c r="K37" s="22"/>
      <c r="L37" s="23"/>
      <c r="M37" s="21" t="s">
        <v>3</v>
      </c>
      <c r="N37" s="22"/>
      <c r="O37" s="23"/>
      <c r="P37" s="18" t="s">
        <v>5</v>
      </c>
      <c r="Q37" s="19"/>
      <c r="R37" s="20"/>
      <c r="S37" s="16" t="s">
        <v>6</v>
      </c>
      <c r="T37" s="16"/>
      <c r="U37" s="16"/>
      <c r="V37" s="15" t="s">
        <v>35</v>
      </c>
      <c r="W37" s="15"/>
      <c r="X37" s="15"/>
      <c r="Y37" s="13"/>
      <c r="AC37" s="1" t="s">
        <v>0</v>
      </c>
      <c r="AD37" s="1" t="s">
        <v>1</v>
      </c>
      <c r="AE37" s="1" t="s">
        <v>29</v>
      </c>
      <c r="AF37" s="1" t="s">
        <v>2</v>
      </c>
      <c r="AG37" s="1" t="s">
        <v>15</v>
      </c>
      <c r="AH37" s="1" t="s">
        <v>3</v>
      </c>
    </row>
    <row r="38" spans="3:34" x14ac:dyDescent="0.25">
      <c r="C38" s="1" t="s">
        <v>11</v>
      </c>
      <c r="D38" s="3">
        <v>1</v>
      </c>
      <c r="E38" s="3">
        <v>0</v>
      </c>
      <c r="F38" s="3">
        <v>0</v>
      </c>
      <c r="G38" s="3">
        <v>1</v>
      </c>
      <c r="H38" s="3"/>
      <c r="I38" s="3"/>
      <c r="J38" s="3">
        <v>1</v>
      </c>
      <c r="K38" s="3"/>
      <c r="L38" s="3"/>
      <c r="M38" s="3">
        <f>M23/M23</f>
        <v>1</v>
      </c>
      <c r="N38" s="3"/>
      <c r="O38" s="3"/>
      <c r="P38" s="3">
        <f>P23/$P$23</f>
        <v>1</v>
      </c>
      <c r="Q38" s="3"/>
      <c r="R38" s="3"/>
      <c r="S38" s="3">
        <f>S23/$S$23</f>
        <v>1</v>
      </c>
      <c r="T38" s="3"/>
      <c r="U38" s="3"/>
      <c r="V38" s="3">
        <f>V23/$V$23</f>
        <v>1</v>
      </c>
      <c r="W38" s="1"/>
      <c r="X38" s="1"/>
      <c r="AC38" s="1" t="s">
        <v>11</v>
      </c>
      <c r="AD38" s="3">
        <v>1</v>
      </c>
      <c r="AE38" s="3"/>
      <c r="AF38" s="3">
        <v>0</v>
      </c>
      <c r="AG38" s="3">
        <v>1</v>
      </c>
      <c r="AH38" s="3">
        <f>AH23/$AH$23</f>
        <v>1</v>
      </c>
    </row>
    <row r="39" spans="3:34" x14ac:dyDescent="0.25">
      <c r="C39" s="1" t="s">
        <v>12</v>
      </c>
      <c r="D39" s="3">
        <f>D32*20/20</f>
        <v>1.0959629782499951</v>
      </c>
      <c r="E39" s="3">
        <v>2.5351898346348226E-2</v>
      </c>
      <c r="F39" s="3">
        <f t="shared" ref="F39" si="46">D39*E39</f>
        <v>2.7784742015954926E-2</v>
      </c>
      <c r="G39" s="3">
        <v>1</v>
      </c>
      <c r="H39" s="3"/>
      <c r="I39" s="3"/>
      <c r="J39" s="4"/>
      <c r="K39" s="4"/>
      <c r="L39" s="4"/>
      <c r="M39" s="3">
        <f>M24/M23</f>
        <v>1.1629884029264241</v>
      </c>
      <c r="N39" s="3"/>
      <c r="O39" s="3"/>
      <c r="P39" s="3">
        <f t="shared" ref="P39" si="47">P24/$P$23</f>
        <v>1.3189655172413794</v>
      </c>
      <c r="Q39" s="3"/>
      <c r="R39" s="3"/>
      <c r="S39" s="3">
        <f>S24/$S$23</f>
        <v>1.2000000000000002</v>
      </c>
      <c r="T39" s="3"/>
      <c r="U39" s="3"/>
      <c r="V39" s="3">
        <f t="shared" ref="V39:V40" si="48">V24/$V$23</f>
        <v>1.1223155963202709</v>
      </c>
      <c r="W39" s="1"/>
      <c r="X39" s="1"/>
      <c r="AC39" s="1" t="s">
        <v>12</v>
      </c>
      <c r="AD39" s="3">
        <v>0.96293064330343114</v>
      </c>
      <c r="AE39" s="3"/>
      <c r="AF39" s="3">
        <v>3.1813291919592576E-2</v>
      </c>
      <c r="AG39" s="4"/>
      <c r="AH39" s="3">
        <f>AH24/$AH$23</f>
        <v>0.97800536112331404</v>
      </c>
    </row>
    <row r="40" spans="3:34" x14ac:dyDescent="0.25">
      <c r="C40" s="1" t="s">
        <v>13</v>
      </c>
      <c r="D40" s="9">
        <f>D33*26/20</f>
        <v>1.6357714732436945</v>
      </c>
      <c r="E40" s="3">
        <v>2.6451098104775399E-2</v>
      </c>
      <c r="F40" s="3">
        <f>D40*E40</f>
        <v>4.3267951715761949E-2</v>
      </c>
      <c r="G40" s="3">
        <v>1.3</v>
      </c>
      <c r="H40" s="3"/>
      <c r="I40" s="3"/>
      <c r="J40" s="4"/>
      <c r="K40" s="4"/>
      <c r="L40" s="4"/>
      <c r="M40" s="3">
        <f>M25/M23</f>
        <v>1.3231553909425224</v>
      </c>
      <c r="N40" s="3"/>
      <c r="O40" s="3"/>
      <c r="P40" s="3">
        <f>P25/$P$23</f>
        <v>1.5129310344827587</v>
      </c>
      <c r="Q40" s="3"/>
      <c r="R40" s="3"/>
      <c r="S40" s="3">
        <f>S25/$S$23</f>
        <v>1.4662025316455698</v>
      </c>
      <c r="T40" s="3"/>
      <c r="U40" s="3"/>
      <c r="V40" s="3">
        <f t="shared" si="48"/>
        <v>1.3417366981458989</v>
      </c>
      <c r="W40" s="1"/>
      <c r="X40" s="1"/>
      <c r="AC40" s="1" t="s">
        <v>13</v>
      </c>
      <c r="AD40" s="3">
        <v>1.3780498446717162</v>
      </c>
      <c r="AE40" s="3"/>
      <c r="AF40" s="3">
        <v>4.5758976043771375E-2</v>
      </c>
      <c r="AG40" s="4"/>
      <c r="AH40" s="3">
        <f>AH25/$AH$23</f>
        <v>1.2870971123964789</v>
      </c>
    </row>
    <row r="41" spans="3:34" x14ac:dyDescent="0.25">
      <c r="G41" s="6"/>
      <c r="H41" s="9"/>
      <c r="I41" s="9"/>
      <c r="M41">
        <f>M40/M39</f>
        <v>1.1377201936090426</v>
      </c>
      <c r="P41">
        <f>P40/P39</f>
        <v>1.1470588235294117</v>
      </c>
      <c r="S41">
        <f>S40/S39</f>
        <v>1.2218354430379748</v>
      </c>
      <c r="V41">
        <f>V40/V39</f>
        <v>1.1955074869716171</v>
      </c>
    </row>
  </sheetData>
  <mergeCells count="35">
    <mergeCell ref="C29:X29"/>
    <mergeCell ref="C36:X36"/>
    <mergeCell ref="M30:O30"/>
    <mergeCell ref="S30:U30"/>
    <mergeCell ref="P30:R30"/>
    <mergeCell ref="V30:X30"/>
    <mergeCell ref="Y6:AA6"/>
    <mergeCell ref="C5:AA5"/>
    <mergeCell ref="C17:Y17"/>
    <mergeCell ref="M18:O18"/>
    <mergeCell ref="J18:L18"/>
    <mergeCell ref="G18:I18"/>
    <mergeCell ref="P18:R18"/>
    <mergeCell ref="J30:L30"/>
    <mergeCell ref="G30:I30"/>
    <mergeCell ref="V37:X37"/>
    <mergeCell ref="S37:U37"/>
    <mergeCell ref="P37:R37"/>
    <mergeCell ref="M37:O37"/>
    <mergeCell ref="J37:L37"/>
    <mergeCell ref="G37:I37"/>
    <mergeCell ref="AC36:AH36"/>
    <mergeCell ref="AJ5:AR5"/>
    <mergeCell ref="AJ19:AR19"/>
    <mergeCell ref="AC5:AH5"/>
    <mergeCell ref="AC17:AH17"/>
    <mergeCell ref="AC29:AH29"/>
    <mergeCell ref="V6:X6"/>
    <mergeCell ref="S18:U18"/>
    <mergeCell ref="V18:X18"/>
    <mergeCell ref="G6:I6"/>
    <mergeCell ref="J6:L6"/>
    <mergeCell ref="M6:O6"/>
    <mergeCell ref="P6:R6"/>
    <mergeCell ref="S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D242-F4E2-4AEB-A82D-6AE7B43F9E21}">
  <dimension ref="C7:O28"/>
  <sheetViews>
    <sheetView topLeftCell="A4" zoomScale="160" zoomScaleNormal="160" workbookViewId="0">
      <selection activeCell="F17" sqref="F17"/>
    </sheetView>
  </sheetViews>
  <sheetFormatPr defaultRowHeight="15" x14ac:dyDescent="0.25"/>
  <sheetData>
    <row r="7" spans="3:15" x14ac:dyDescent="0.25">
      <c r="H7" t="s">
        <v>30</v>
      </c>
    </row>
    <row r="8" spans="3:15" x14ac:dyDescent="0.25">
      <c r="F8" s="1" t="s">
        <v>4</v>
      </c>
      <c r="G8" s="1"/>
      <c r="H8" s="1" t="s">
        <v>15</v>
      </c>
      <c r="I8" s="1"/>
      <c r="J8" s="1" t="s">
        <v>3</v>
      </c>
      <c r="K8" s="1"/>
      <c r="L8" s="5" t="s">
        <v>5</v>
      </c>
      <c r="M8" s="5"/>
      <c r="N8" s="5" t="s">
        <v>6</v>
      </c>
    </row>
    <row r="9" spans="3:15" x14ac:dyDescent="0.25">
      <c r="C9" s="9">
        <f>E9/D9</f>
        <v>4.8048429062078596E-2</v>
      </c>
      <c r="D9" s="9">
        <v>0.8007496122695158</v>
      </c>
      <c r="E9" s="9">
        <v>3.8474760941618773E-2</v>
      </c>
      <c r="F9" s="9">
        <f>Values!G7/Values!D7</f>
        <v>1.2488298272986496</v>
      </c>
      <c r="G9" s="9">
        <f>F9*C9</f>
        <v>6.000431136756703E-2</v>
      </c>
      <c r="H9" s="9">
        <f>Values!J7/Values!D7</f>
        <v>1.1664070586969388</v>
      </c>
      <c r="I9" s="9">
        <f>H9*C9</f>
        <v>5.6044026817307607E-2</v>
      </c>
      <c r="J9" s="9">
        <f>Values!M7/Values!D7</f>
        <v>1.2797327457900685</v>
      </c>
      <c r="K9" s="9">
        <f>J9*C9</f>
        <v>6.1489148054513165E-2</v>
      </c>
      <c r="L9" s="9">
        <f>Values!P7/Values!D7</f>
        <v>0.97408726529294665</v>
      </c>
      <c r="M9" s="9">
        <f>L9*C9</f>
        <v>4.6803362866702281E-2</v>
      </c>
      <c r="N9" s="9">
        <f>Values!S7/Values!D7</f>
        <v>1.1825169634690913</v>
      </c>
      <c r="O9" s="9">
        <f>N9*C9</f>
        <v>5.6818082433949223E-2</v>
      </c>
    </row>
    <row r="10" spans="3:15" x14ac:dyDescent="0.25">
      <c r="C10" s="9">
        <f t="shared" ref="C10:C16" si="0">E10/D10</f>
        <v>3.5781749290123135E-2</v>
      </c>
      <c r="D10" s="9">
        <v>0.92101955378049893</v>
      </c>
      <c r="E10" s="9">
        <v>3.2955690764674896E-2</v>
      </c>
      <c r="F10" s="9">
        <f>Values!G8/Values!D8</f>
        <v>0.86860262273069966</v>
      </c>
      <c r="G10" s="9">
        <f t="shared" ref="G10:G16" si="1">F10*C10</f>
        <v>3.1080121279293306E-2</v>
      </c>
      <c r="H10" s="9">
        <f>Values!J8/Values!D8</f>
        <v>0.97283493745838356</v>
      </c>
      <c r="I10" s="9">
        <f t="shared" ref="I10:I16" si="2">H10*C10</f>
        <v>3.4809735832808504E-2</v>
      </c>
      <c r="J10" s="9">
        <f>Values!M8/Values!D8</f>
        <v>1.057183418097172</v>
      </c>
      <c r="K10" s="9">
        <f t="shared" ref="K10:K16" si="3">J10*C10</f>
        <v>3.7827872020028436E-2</v>
      </c>
      <c r="L10" s="9">
        <f>Values!P8/Values!D8</f>
        <v>0.933747819435502</v>
      </c>
      <c r="M10" s="9">
        <f t="shared" ref="M10:M16" si="4">L10*C10</f>
        <v>3.3411130375240301E-2</v>
      </c>
      <c r="N10" s="9">
        <f>Values!S8/Values!D8</f>
        <v>0</v>
      </c>
      <c r="O10" s="9">
        <f t="shared" ref="O10:O16" si="5">N10*C10</f>
        <v>0</v>
      </c>
    </row>
    <row r="11" spans="3:15" x14ac:dyDescent="0.25">
      <c r="C11" s="9">
        <f t="shared" si="0"/>
        <v>3.5040133270857948E-2</v>
      </c>
      <c r="D11" s="9">
        <v>1.0003294442022888</v>
      </c>
      <c r="E11" s="9">
        <v>3.5051677039611456E-2</v>
      </c>
      <c r="F11" s="9">
        <f>Values!G9/Values!D9</f>
        <v>0.99967066429544971</v>
      </c>
      <c r="G11" s="9">
        <f t="shared" si="1"/>
        <v>3.5028593303879654E-2</v>
      </c>
      <c r="H11" s="9">
        <f>Values!J9/Values!D9</f>
        <v>1.0106670416026995</v>
      </c>
      <c r="I11" s="9">
        <f t="shared" si="2"/>
        <v>3.5413907830222323E-2</v>
      </c>
      <c r="J11" s="9">
        <f>Values!M9/Values!D9</f>
        <v>1.0383625174887394</v>
      </c>
      <c r="K11" s="9">
        <f t="shared" si="3"/>
        <v>3.6384360996268995E-2</v>
      </c>
      <c r="L11" s="9">
        <f>Values!P9/Values!D9</f>
        <v>1.0196640775813588</v>
      </c>
      <c r="M11" s="9">
        <f t="shared" si="4"/>
        <v>3.572916516995725E-2</v>
      </c>
      <c r="N11" s="9">
        <f>Values!S9/Values!D9</f>
        <v>0</v>
      </c>
      <c r="O11" s="9">
        <f t="shared" si="5"/>
        <v>0</v>
      </c>
    </row>
    <row r="12" spans="3:15" x14ac:dyDescent="0.25">
      <c r="C12" s="9">
        <f t="shared" si="0"/>
        <v>0</v>
      </c>
      <c r="D12" s="9">
        <v>1</v>
      </c>
      <c r="E12" s="9">
        <v>0</v>
      </c>
      <c r="F12" s="9">
        <f>Values!G10/Values!D10</f>
        <v>1</v>
      </c>
      <c r="G12" s="9">
        <f t="shared" si="1"/>
        <v>0</v>
      </c>
      <c r="H12" s="9">
        <f>Values!J10/Values!D10</f>
        <v>1</v>
      </c>
      <c r="I12" s="9">
        <f t="shared" si="2"/>
        <v>0</v>
      </c>
      <c r="J12" s="9">
        <f>Values!M10/Values!D10</f>
        <v>1</v>
      </c>
      <c r="K12" s="9">
        <f t="shared" si="3"/>
        <v>0</v>
      </c>
      <c r="L12" s="9">
        <f>Values!P10/Values!D10</f>
        <v>1</v>
      </c>
      <c r="M12" s="9">
        <f t="shared" si="4"/>
        <v>0</v>
      </c>
      <c r="N12" s="9">
        <f>Values!S10/Values!D10</f>
        <v>1</v>
      </c>
      <c r="O12" s="9">
        <f t="shared" si="5"/>
        <v>0</v>
      </c>
    </row>
    <row r="13" spans="3:15" x14ac:dyDescent="0.25">
      <c r="C13" s="9">
        <f t="shared" si="0"/>
        <v>5.3401500944900163E-2</v>
      </c>
      <c r="D13" s="9">
        <v>0.92658716079918091</v>
      </c>
      <c r="E13" s="9">
        <v>4.9481145142949816E-2</v>
      </c>
      <c r="F13" s="9">
        <f>Values!G11/Values!D11</f>
        <v>1.0786274836745127</v>
      </c>
      <c r="G13" s="9">
        <f t="shared" si="1"/>
        <v>5.7600326588639776E-2</v>
      </c>
      <c r="H13" s="9">
        <f>Values!J11/Values!D11</f>
        <v>0.92114787105803375</v>
      </c>
      <c r="I13" s="9">
        <f t="shared" si="2"/>
        <v>4.9190678906698364E-2</v>
      </c>
      <c r="J13" s="9">
        <f>Values!M11/Values!D11</f>
        <v>1.2491983980603489</v>
      </c>
      <c r="K13" s="9">
        <f t="shared" si="3"/>
        <v>6.6709069434387494E-2</v>
      </c>
      <c r="L13" s="9">
        <f>Values!P11/Values!D11</f>
        <v>1.2512078810624345</v>
      </c>
      <c r="M13" s="9">
        <f t="shared" si="4"/>
        <v>6.6816378842822127E-2</v>
      </c>
      <c r="N13" s="9">
        <f>Values!S11/Values!D11</f>
        <v>1.7042314242057299</v>
      </c>
      <c r="O13" s="9">
        <f t="shared" si="5"/>
        <v>9.1008516010050833E-2</v>
      </c>
    </row>
    <row r="14" spans="3:15" x14ac:dyDescent="0.25">
      <c r="C14" s="9">
        <f t="shared" si="0"/>
        <v>5.7749423639474794E-2</v>
      </c>
      <c r="D14" s="9">
        <v>1.0160718086993543</v>
      </c>
      <c r="E14" s="9">
        <v>5.8677561328706405E-2</v>
      </c>
      <c r="F14" s="9">
        <f>Values!G12/Values!D12</f>
        <v>0.98418240860365236</v>
      </c>
      <c r="G14" s="9">
        <f t="shared" si="1"/>
        <v>5.6835966852971001E-2</v>
      </c>
      <c r="H14" s="9">
        <f>Values!J12/Values!D12</f>
        <v>0</v>
      </c>
      <c r="I14" s="9">
        <f t="shared" si="2"/>
        <v>0</v>
      </c>
      <c r="J14" s="9">
        <f>Values!M12/Values!D12</f>
        <v>1.3255951877300185</v>
      </c>
      <c r="K14" s="9">
        <f t="shared" si="3"/>
        <v>7.6552358070669957E-2</v>
      </c>
      <c r="L14" s="9">
        <f>Values!P12/Values!D12</f>
        <v>1.5057990851635881</v>
      </c>
      <c r="M14" s="9">
        <f t="shared" si="4"/>
        <v>8.6959029285045633E-2</v>
      </c>
      <c r="N14" s="9">
        <f>Values!S12/Values!D12</f>
        <v>1.8660098467125248</v>
      </c>
      <c r="O14" s="9">
        <f t="shared" si="5"/>
        <v>0.10776099315323301</v>
      </c>
    </row>
    <row r="15" spans="3:15" x14ac:dyDescent="0.25">
      <c r="C15" s="9">
        <f t="shared" si="0"/>
        <v>5.4790221955939668E-2</v>
      </c>
      <c r="D15" s="9">
        <v>1.1665593861187418</v>
      </c>
      <c r="E15" s="9">
        <v>6.3916047690230585E-2</v>
      </c>
      <c r="F15" s="9">
        <f>Values!G13/Values!D13</f>
        <v>0.85721982056350876</v>
      </c>
      <c r="G15" s="9">
        <f t="shared" si="1"/>
        <v>4.6967264233705418E-2</v>
      </c>
      <c r="H15" s="9">
        <f>Values!J13/Values!D13</f>
        <v>0</v>
      </c>
      <c r="I15" s="9">
        <f t="shared" si="2"/>
        <v>0</v>
      </c>
      <c r="J15" s="9">
        <f>Values!M13/Values!D13</f>
        <v>1.0104611932574457</v>
      </c>
      <c r="K15" s="9">
        <f t="shared" si="3"/>
        <v>5.5363393056439093E-2</v>
      </c>
      <c r="L15" s="9">
        <f>Values!P13/Values!D13</f>
        <v>1.1572467577607368</v>
      </c>
      <c r="M15" s="9">
        <f t="shared" si="4"/>
        <v>6.3405806715502319E-2</v>
      </c>
      <c r="N15" s="9">
        <f>Values!S13/Values!D13</f>
        <v>1.5275657202441726</v>
      </c>
      <c r="O15" s="9">
        <f t="shared" si="5"/>
        <v>8.369566486446306E-2</v>
      </c>
    </row>
    <row r="16" spans="3:15" x14ac:dyDescent="0.25">
      <c r="C16" s="9">
        <f t="shared" si="0"/>
        <v>7.7644041606789976E-2</v>
      </c>
      <c r="D16" s="9">
        <v>1.2620703287346302</v>
      </c>
      <c r="E16" s="9">
        <v>9.7992241114966724E-2</v>
      </c>
      <c r="F16" s="9">
        <f>Values!G14/Values!D14</f>
        <v>0.87158375801677856</v>
      </c>
      <c r="G16" s="9">
        <f t="shared" si="1"/>
        <v>6.7673285571257125E-2</v>
      </c>
      <c r="H16" s="9">
        <f>Values!J14/Values!D14</f>
        <v>0</v>
      </c>
      <c r="I16" s="9">
        <f t="shared" si="2"/>
        <v>0</v>
      </c>
      <c r="J16" s="9">
        <f>Values!M14/Values!D14</f>
        <v>1.2550806115441611</v>
      </c>
      <c r="K16" s="9">
        <f t="shared" si="3"/>
        <v>9.7449531222610256E-2</v>
      </c>
      <c r="L16" s="9">
        <f>Values!P14/Values!D14</f>
        <v>1.3707635466991153</v>
      </c>
      <c r="M16" s="9">
        <f t="shared" si="4"/>
        <v>0.1064316218529771</v>
      </c>
      <c r="N16" s="9">
        <f>Values!S14/Values!D14</f>
        <v>2.1298337650446371</v>
      </c>
      <c r="O16" s="9">
        <f t="shared" si="5"/>
        <v>0.16536890146867195</v>
      </c>
    </row>
    <row r="19" spans="3:15" x14ac:dyDescent="0.25">
      <c r="H19" t="s">
        <v>31</v>
      </c>
    </row>
    <row r="20" spans="3:15" x14ac:dyDescent="0.25">
      <c r="C20" t="s">
        <v>34</v>
      </c>
      <c r="D20" t="s">
        <v>32</v>
      </c>
      <c r="E20" t="s">
        <v>33</v>
      </c>
      <c r="F20" s="1" t="s">
        <v>4</v>
      </c>
      <c r="G20" s="1"/>
      <c r="H20" s="1" t="s">
        <v>15</v>
      </c>
      <c r="I20" s="1"/>
      <c r="J20" s="1" t="s">
        <v>3</v>
      </c>
      <c r="K20" s="1"/>
      <c r="L20" s="1" t="s">
        <v>5</v>
      </c>
      <c r="M20" s="1"/>
      <c r="N20" s="5" t="s">
        <v>6</v>
      </c>
    </row>
    <row r="21" spans="3:15" x14ac:dyDescent="0.25">
      <c r="C21" s="9">
        <f>E21/D21</f>
        <v>4.8048429062078596E-2</v>
      </c>
      <c r="D21" s="9">
        <v>0.53378075873662156</v>
      </c>
      <c r="E21" s="9">
        <v>2.564732692085905E-2</v>
      </c>
      <c r="F21" s="9">
        <f>Values!G19/Values!D19</f>
        <v>1.2488298272986493</v>
      </c>
      <c r="G21" s="9">
        <f>F21*C21</f>
        <v>6.0004311367567016E-2</v>
      </c>
      <c r="H21" s="9">
        <f>Values!J19/Values!D19</f>
        <v>1.1664070586969386</v>
      </c>
      <c r="I21" s="9">
        <f>H21*C21</f>
        <v>5.60440268173076E-2</v>
      </c>
      <c r="J21" s="9">
        <f>Values!M19/Values!D19</f>
        <v>1.2797327457900682</v>
      </c>
      <c r="K21" s="9">
        <f>J21*C21</f>
        <v>6.1489148054513151E-2</v>
      </c>
      <c r="L21" s="9">
        <f>Values!P19/Values!D19</f>
        <v>0.97408726529294665</v>
      </c>
      <c r="M21" s="9">
        <f>L21*C21</f>
        <v>4.6803362866702281E-2</v>
      </c>
      <c r="N21" s="9">
        <f>Values!S19/Values!D19</f>
        <v>1.1825169634690911</v>
      </c>
      <c r="O21" s="9">
        <f>N21*C21</f>
        <v>5.6818082433949209E-2</v>
      </c>
    </row>
    <row r="22" spans="3:15" x14ac:dyDescent="0.25">
      <c r="C22" s="9">
        <f t="shared" ref="C22:C28" si="6">E22/D22</f>
        <v>3.5781749290123135E-2</v>
      </c>
      <c r="D22" s="9">
        <v>0.76751759150539356</v>
      </c>
      <c r="E22" s="9">
        <v>2.7463122035005134E-2</v>
      </c>
      <c r="F22" s="9">
        <f>Values!G20/Values!D20</f>
        <v>0.86860262273069966</v>
      </c>
      <c r="G22" s="9">
        <f t="shared" ref="G22:G28" si="7">F22*C22</f>
        <v>3.1080121279293306E-2</v>
      </c>
      <c r="H22" s="9">
        <f>Values!J20/Values!D20</f>
        <v>0.97283493745838368</v>
      </c>
      <c r="I22" s="9">
        <f t="shared" ref="I22:I28" si="8">H22*C22</f>
        <v>3.4809735832808504E-2</v>
      </c>
      <c r="J22" s="9">
        <f>Values!M20/Values!D20</f>
        <v>1.057183418097172</v>
      </c>
      <c r="K22" s="9">
        <f t="shared" ref="K22:K28" si="9">J22*C22</f>
        <v>3.7827872020028436E-2</v>
      </c>
      <c r="L22" s="9">
        <f>Values!P20/Values!D20</f>
        <v>0.93374781943550211</v>
      </c>
      <c r="M22" s="9">
        <f t="shared" ref="M22:M28" si="10">L22*C22</f>
        <v>3.3411130375240301E-2</v>
      </c>
      <c r="N22" s="9">
        <f>Values!S20/Values!D20</f>
        <v>0</v>
      </c>
      <c r="O22" s="9">
        <f t="shared" ref="O22:O28" si="11">N22*C22</f>
        <v>0</v>
      </c>
    </row>
    <row r="23" spans="3:15" x14ac:dyDescent="0.25">
      <c r="C23" s="9">
        <f t="shared" si="6"/>
        <v>3.5040133270857948E-2</v>
      </c>
      <c r="D23" s="9">
        <v>0.83361772581748761</v>
      </c>
      <c r="E23" s="9">
        <v>2.9210076209594288E-2</v>
      </c>
      <c r="F23" s="9">
        <f>Values!G21/Values!D21</f>
        <v>0.99967066429544971</v>
      </c>
      <c r="G23" s="9">
        <f t="shared" si="7"/>
        <v>3.5028593303879654E-2</v>
      </c>
      <c r="H23" s="9">
        <f>Values!J21/Values!D21</f>
        <v>1.0106670416026995</v>
      </c>
      <c r="I23" s="9">
        <f t="shared" si="8"/>
        <v>3.5413907830222323E-2</v>
      </c>
      <c r="J23" s="9">
        <f>Values!M21/Values!D21</f>
        <v>1.0383625174887394</v>
      </c>
      <c r="K23" s="9">
        <f t="shared" si="9"/>
        <v>3.6384360996268995E-2</v>
      </c>
      <c r="L23" s="9">
        <f>Values!P21/Values!D21</f>
        <v>1.0196640775813586</v>
      </c>
      <c r="M23" s="9">
        <f t="shared" si="10"/>
        <v>3.5729165169957243E-2</v>
      </c>
      <c r="N23" s="9">
        <f>Values!S21/Values!D21</f>
        <v>0</v>
      </c>
      <c r="O23" s="9">
        <f t="shared" si="11"/>
        <v>0</v>
      </c>
    </row>
    <row r="24" spans="3:15" x14ac:dyDescent="0.25">
      <c r="C24" s="9">
        <f t="shared" si="6"/>
        <v>0</v>
      </c>
      <c r="D24" s="9">
        <v>1</v>
      </c>
      <c r="E24" s="9">
        <v>0</v>
      </c>
      <c r="F24" s="9">
        <f>Values!G22/Values!D22</f>
        <v>1</v>
      </c>
      <c r="G24" s="9">
        <f t="shared" si="7"/>
        <v>0</v>
      </c>
      <c r="H24" s="9">
        <f>Values!J22/Values!D22</f>
        <v>1</v>
      </c>
      <c r="I24" s="9">
        <f t="shared" si="8"/>
        <v>0</v>
      </c>
      <c r="J24" s="9">
        <f>Values!M22/Values!D22</f>
        <v>1</v>
      </c>
      <c r="K24" s="9">
        <f t="shared" si="9"/>
        <v>0</v>
      </c>
      <c r="L24" s="9">
        <f>Values!P22/Values!D22</f>
        <v>1</v>
      </c>
      <c r="M24" s="9">
        <f t="shared" si="10"/>
        <v>0</v>
      </c>
      <c r="N24" s="9">
        <f>Values!S22/Values!D22</f>
        <v>1</v>
      </c>
      <c r="O24" s="9">
        <f t="shared" si="11"/>
        <v>0</v>
      </c>
    </row>
    <row r="25" spans="3:15" x14ac:dyDescent="0.25">
      <c r="C25" s="9">
        <f t="shared" si="6"/>
        <v>5.3401500944900163E-2</v>
      </c>
      <c r="D25" s="9">
        <v>3.090348113295208</v>
      </c>
      <c r="E25" s="9">
        <v>0.16502922769220449</v>
      </c>
      <c r="F25" s="9">
        <f>Values!G23/Values!D23</f>
        <v>1.0786274836745127</v>
      </c>
      <c r="G25" s="9">
        <f t="shared" si="7"/>
        <v>5.7600326588639776E-2</v>
      </c>
      <c r="H25" s="9">
        <f>Values!J23/Values!D23</f>
        <v>0.92114787105803364</v>
      </c>
      <c r="I25" s="9">
        <f t="shared" si="8"/>
        <v>4.9190678906698357E-2</v>
      </c>
      <c r="J25" s="9">
        <f>Values!M23/Values!D23</f>
        <v>1.2491983980603489</v>
      </c>
      <c r="K25" s="9">
        <f t="shared" si="9"/>
        <v>6.6709069434387494E-2</v>
      </c>
      <c r="L25" s="9">
        <f>Values!P23/Values!D23</f>
        <v>1.2512078810624347</v>
      </c>
      <c r="M25" s="9">
        <f t="shared" si="10"/>
        <v>6.6816378842822141E-2</v>
      </c>
      <c r="N25" s="9">
        <f>Values!S23/Values!D23</f>
        <v>1.7042314242057299</v>
      </c>
      <c r="O25" s="9">
        <f t="shared" si="11"/>
        <v>9.1008516010050833E-2</v>
      </c>
    </row>
    <row r="26" spans="3:15" x14ac:dyDescent="0.25">
      <c r="C26" s="9">
        <f t="shared" si="6"/>
        <v>5.7749423639474787E-2</v>
      </c>
      <c r="D26" s="9">
        <v>3.3869370929456588</v>
      </c>
      <c r="E26" s="9">
        <v>0.19559366502077005</v>
      </c>
      <c r="F26" s="9">
        <f>Values!G24/Values!D24</f>
        <v>0.98418240860365236</v>
      </c>
      <c r="G26" s="9">
        <f t="shared" si="7"/>
        <v>5.6835966852970994E-2</v>
      </c>
      <c r="H26" s="9">
        <f>Values!J24/Values!D24</f>
        <v>0</v>
      </c>
      <c r="I26" s="9">
        <f t="shared" si="8"/>
        <v>0</v>
      </c>
      <c r="J26" s="9">
        <f>Values!M24/Values!D24</f>
        <v>1.3255951877300183</v>
      </c>
      <c r="K26" s="9">
        <f t="shared" si="9"/>
        <v>7.6552358070669929E-2</v>
      </c>
      <c r="L26" s="9">
        <f>Values!P24/Values!D24</f>
        <v>1.5057990851635881</v>
      </c>
      <c r="M26" s="9">
        <f t="shared" si="10"/>
        <v>8.6959029285045619E-2</v>
      </c>
      <c r="N26" s="9">
        <f>Values!S24/Values!D24</f>
        <v>1.8660098467125248</v>
      </c>
      <c r="O26" s="9">
        <f t="shared" si="11"/>
        <v>0.10776099315323301</v>
      </c>
    </row>
    <row r="27" spans="3:15" x14ac:dyDescent="0.25">
      <c r="C27" s="9">
        <f t="shared" si="6"/>
        <v>5.4790221955939675E-2</v>
      </c>
      <c r="D27" s="9">
        <v>5.0550764058421533</v>
      </c>
      <c r="E27" s="9">
        <v>0.27696875828032536</v>
      </c>
      <c r="F27" s="9">
        <f>Values!G25/Values!D25</f>
        <v>0.85721982056350865</v>
      </c>
      <c r="G27" s="9">
        <f t="shared" si="7"/>
        <v>4.6967264233705418E-2</v>
      </c>
      <c r="H27" s="9">
        <f>Values!J25/Values!D25</f>
        <v>0</v>
      </c>
      <c r="I27" s="9">
        <f t="shared" si="8"/>
        <v>0</v>
      </c>
      <c r="J27" s="9">
        <f>Values!M25/Values!D25</f>
        <v>1.0104611932574457</v>
      </c>
      <c r="K27" s="9">
        <f t="shared" si="9"/>
        <v>5.53633930564391E-2</v>
      </c>
      <c r="L27" s="9">
        <f>Values!P25/Values!D25</f>
        <v>1.157246757760737</v>
      </c>
      <c r="M27" s="9">
        <f t="shared" si="10"/>
        <v>6.3405806715502333E-2</v>
      </c>
      <c r="N27" s="9">
        <f>Values!S25/Values!D25</f>
        <v>1.5275657202441728</v>
      </c>
      <c r="O27" s="9">
        <f t="shared" si="11"/>
        <v>8.3695664864463074E-2</v>
      </c>
    </row>
    <row r="28" spans="3:15" x14ac:dyDescent="0.25">
      <c r="C28" s="9">
        <f t="shared" si="6"/>
        <v>7.7644041606789976E-2</v>
      </c>
      <c r="D28" s="9">
        <v>16.617489293045335</v>
      </c>
      <c r="E28" s="9">
        <v>1.290249030069599</v>
      </c>
      <c r="F28" s="9">
        <f>Values!G26/Values!D26</f>
        <v>0.87158375801677856</v>
      </c>
      <c r="G28" s="9">
        <f t="shared" si="7"/>
        <v>6.7673285571257125E-2</v>
      </c>
      <c r="H28" s="9">
        <f>Values!J26/Values!D26</f>
        <v>0</v>
      </c>
      <c r="I28" s="9">
        <f t="shared" si="8"/>
        <v>0</v>
      </c>
      <c r="J28" s="9">
        <f>Values!M26/Values!D26</f>
        <v>1.2550806115441611</v>
      </c>
      <c r="K28" s="9">
        <f t="shared" si="9"/>
        <v>9.7449531222610256E-2</v>
      </c>
      <c r="L28" s="9">
        <f>Values!P26/Values!D26</f>
        <v>1.3707635466991153</v>
      </c>
      <c r="M28" s="9">
        <f t="shared" si="10"/>
        <v>0.1064316218529771</v>
      </c>
      <c r="N28" s="9">
        <f>Values!S26/Values!D26</f>
        <v>2.1298337650446371</v>
      </c>
      <c r="O28" s="9">
        <f t="shared" si="11"/>
        <v>0.16536890146867195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Plague Spreader</dc:creator>
  <cp:lastModifiedBy>Noah</cp:lastModifiedBy>
  <dcterms:created xsi:type="dcterms:W3CDTF">2015-06-05T18:17:20Z</dcterms:created>
  <dcterms:modified xsi:type="dcterms:W3CDTF">2026-02-10T02:43:57Z</dcterms:modified>
</cp:coreProperties>
</file>